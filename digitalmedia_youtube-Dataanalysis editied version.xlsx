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ndaraj.R\Desktop\"/>
    </mc:Choice>
  </mc:AlternateContent>
  <xr:revisionPtr revIDLastSave="0" documentId="13_ncr:1_{ADEB74FB-A233-4529-81E2-C04267535869}" xr6:coauthVersionLast="47" xr6:coauthVersionMax="47" xr10:uidLastSave="{00000000-0000-0000-0000-000000000000}"/>
  <bookViews>
    <workbookView xWindow="-108" yWindow="-108" windowWidth="23256" windowHeight="12456" firstSheet="1" activeTab="3" xr2:uid="{76F5784D-D6C0-41C1-8C9F-71611863B2B7}"/>
  </bookViews>
  <sheets>
    <sheet name="digitalmedia_youtube-top-100-so" sheetId="1" r:id="rId1"/>
    <sheet name="Task1-Filteringdata" sheetId="2" r:id="rId2"/>
    <sheet name="Task2-Data cleaning" sheetId="3" r:id="rId3"/>
    <sheet name="Sheet6" sheetId="7" r:id="rId4"/>
    <sheet name="Pivot-1,2" sheetId="5" r:id="rId5"/>
    <sheet name="Pivot-3" sheetId="6" r:id="rId6"/>
  </sheets>
  <definedNames>
    <definedName name="_xlnm._FilterDatabase" localSheetId="1" hidden="1">'Task1-Filteringdata'!$A$1:$K$101</definedName>
    <definedName name="_xlnm._FilterDatabase" localSheetId="2" hidden="1">'Task2-Data cleaning'!$A$1:$L$101</definedName>
    <definedName name="_xlcn.WorksheetConnection_Task2DatacleaningA1L1011" hidden="1">'Task2-Data cleaning'!$A$1:$L$101</definedName>
  </definedNames>
  <calcPr calcId="191029"/>
  <pivotCaches>
    <pivotCache cacheId="8" r:id="rId7"/>
    <pivotCache cacheId="26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Task2-Data cleaning!$A$1:$L$1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7" l="1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2" i="7"/>
  <c r="J5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C51FD1-79D9-4653-B139-BC652245E86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631EC9B-BE25-4F8F-B036-3DF8BBEE7422}" name="WorksheetConnection_Task2-Data cleaning!$A$1:$L$1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ask2DatacleaningA1L1011"/>
        </x15:connection>
      </ext>
    </extLst>
  </connection>
</connections>
</file>

<file path=xl/sharedStrings.xml><?xml version="1.0" encoding="utf-8"?>
<sst xmlns="http://schemas.openxmlformats.org/spreadsheetml/2006/main" count="2701" uniqueCount="468">
  <si>
    <t>title</t>
  </si>
  <si>
    <t>fulltitle</t>
  </si>
  <si>
    <t>view_count</t>
  </si>
  <si>
    <t>categories</t>
  </si>
  <si>
    <t>tags</t>
  </si>
  <si>
    <t>duration</t>
  </si>
  <si>
    <t>duration_string</t>
  </si>
  <si>
    <t>live_status</t>
  </si>
  <si>
    <t>thumbnail</t>
  </si>
  <si>
    <t>channel</t>
  </si>
  <si>
    <t>channel_url</t>
  </si>
  <si>
    <t>channel_follower_count</t>
  </si>
  <si>
    <t>ROSEÌ &amp; Bruno Mars - APT. (Official Music Video)</t>
  </si>
  <si>
    <t>Music</t>
  </si>
  <si>
    <t>YG Entertainment;YG;ì™€ì´ì§€;K-pop;BLACKPINK;ë¸”ëž™í•‘í¬;ë¸”í•‘;ë¡œì œ;RosÃ©;BLINK;ë¸”ë§í¬;bruno mars;APT.;apt;apartment game;meet me at the;meet me at the apt;bruno mars rose apt;rose;rosesarerosie;rose apt;rose apt music video;rose apt video;rose bruno mars;rose bruno mars kiss;rose kiss</t>
  </si>
  <si>
    <t>https://i.ytimg.com/vi_webp/ekr2nIex040/maxresdefault.webp</t>
  </si>
  <si>
    <t>ROSÃ‰</t>
  </si>
  <si>
    <t>https://www.youtube.com/channel/UCBo1hnzxV9rz3WVsv__Rn1g</t>
  </si>
  <si>
    <t>Lady Gaga, Bruno Mars - Die With A Smile (Official Music Video)</t>
  </si>
  <si>
    <t>Lady Gaga;Bruno Mars;Interscope;Pop</t>
  </si>
  <si>
    <t>https://i.ytimg.com/vi/kPa7bsKwL-c/maxresdefault.jpg</t>
  </si>
  <si>
    <t>Lady Gaga</t>
  </si>
  <si>
    <t>https://www.youtube.com/channel/UC07Kxew-cMIaykMOkzqHtBQ</t>
  </si>
  <si>
    <t>ReneÃ© Rapp - Leave Me Alone (Official Music Video)</t>
  </si>
  <si>
    <t>ReneÃ© Rapp;Interscope Records;Pop</t>
  </si>
  <si>
    <t>https://i.ytimg.com/vi/tiPWzFLiz4A/maxresdefault.jpg</t>
  </si>
  <si>
    <t>ReneÃ© Rapp</t>
  </si>
  <si>
    <t>https://www.youtube.com/channel/UCZy4ki_L4bzw9LdJ1TgQy6Q</t>
  </si>
  <si>
    <t>Billie Eilish - BIRDS OF A FEATHER (Official Music Video)</t>
  </si>
  <si>
    <t>Billie Eilish;Darkroom/Interscope Records;Alternative</t>
  </si>
  <si>
    <t>https://i.ytimg.com/vi/V9PVRfjEBTI/maxresdefault.jpg</t>
  </si>
  <si>
    <t>Billie Eilish</t>
  </si>
  <si>
    <t>https://www.youtube.com/channel/UCDGmojLIoWpXok597xYo8cg</t>
  </si>
  <si>
    <t>ReneÃ© Rapp - Mad (Official Music Video)</t>
  </si>
  <si>
    <t>https://i.ytimg.com/vi/xkWQM3flsiY/maxresdefault.jpg</t>
  </si>
  <si>
    <t>Sabrina Carpenter - Espresso</t>
  </si>
  <si>
    <t>Sabrina Carpenter;Island Records;Pop</t>
  </si>
  <si>
    <t>https://i.ytimg.com/vi/eVli-tstM5E/maxresdefault.jpg</t>
  </si>
  <si>
    <t>Sabrina Carpenter</t>
  </si>
  <si>
    <t>https://www.youtube.com/channel/UC4mYKePIas5YgGfYZ2J2OxQ</t>
  </si>
  <si>
    <t>Lady Gaga - Abracadabra (Official Music Video)</t>
  </si>
  <si>
    <t>Lady Gaga;Interscope Records;Pop;lady gaga abracadabra;lady gaga abracadabra lg7;lady gaga abracadabra traduÃ§Ã£o;lady gaga abracadabra traducao;lady gaga brasil;lady gaga copacabana;abracadabra musica;abracadabra mÃºsica;lady gaga abracadabra legendado;ãƒ¬ãƒ‡ã‚£ãƒ¼ãƒ»ã‚¬ã‚¬;ë ˆì´ë”” ê°€ê°€;å¥³ç¥žå¡å¡;å˜Žå˜Žå°å§;abracadabra;2025;mayhem</t>
  </si>
  <si>
    <t>https://i.ytimg.com/vi/vBynw9Isr28/maxresdefault.jpg</t>
  </si>
  <si>
    <t>Ed Sheeran - Sapphire (Official Music Video)</t>
  </si>
  <si>
    <t>edsheeran;ed sheeran;acoustic;live;cover;official;remix;official video;lyrics;session;ed sheeran sapphire;ed sheeran india;sapphire;ed sheeran music video;ed sheeran video;ed sheeran play;ed sheeran sapphire lyrics;sapphire lyrics;sapphire music video;ed sheeran sapphire india;sapphire india;sapphire official music video;sapphire ed sheeran;ed sheeran official video;sapphire play;official music video;sapphire lyrics ed sheeran;arijit singh</t>
  </si>
  <si>
    <t>https://i.ytimg.com/vi_webp/JgDNFQ2RaLQ/maxresdefault.webp</t>
  </si>
  <si>
    <t>Ed Sheeran</t>
  </si>
  <si>
    <t>https://www.youtube.com/channel/UC0C-w0YjGpqDXGB8IHb662A</t>
  </si>
  <si>
    <t>yung kai - blue (official music video)</t>
  </si>
  <si>
    <t>People &amp; Blogs</t>
  </si>
  <si>
    <t>yung kai;blue;tiktok viral;tik tok;wave to earth;keshi;beabadoobee;laufey;mxmtoon;w2e;kpop;yung kai blue;blue yung kai;kai blue;blue kai;wild flower;wildflower;yung kai wildflower;wildflower yung kai;blue official music video;blue music vide;blue audio;blue official audio;blue lyrics</t>
  </si>
  <si>
    <t>https://i.ytimg.com/vi_webp/IpFX2vq8HKw/maxresdefault.webp</t>
  </si>
  <si>
    <t>yung kai</t>
  </si>
  <si>
    <t>https://www.youtube.com/channel/UCy1FLad-XXw7QZGNuNIuMow</t>
  </si>
  <si>
    <t>Billie Eilish - WILDFLOWER (BILLIE BY FINNEAS)</t>
  </si>
  <si>
    <t>https://i.ytimg.com/vi/IWKyykQBRKo/maxresdefault.jpg</t>
  </si>
  <si>
    <t>Zillionaire Doe - How It's Going (Official Video)</t>
  </si>
  <si>
    <t>https://i.ytimg.com/vi/PDcDcSTiL4g/maxresdefault.jpg</t>
  </si>
  <si>
    <t xml:space="preserve">Zillionaire Doe </t>
  </si>
  <si>
    <t>https://www.youtube.com/channel/UCbVdo2e1hDYR95X53ttMbTg</t>
  </si>
  <si>
    <t>Alex Warren - Ordinary (Official Video)</t>
  </si>
  <si>
    <t>https://i.ytimg.com/vi_webp/u2ah9tWTkmk/maxresdefault.webp</t>
  </si>
  <si>
    <t>Alex Warren</t>
  </si>
  <si>
    <t>https://www.youtube.com/channel/UCX2Pm1JoWF3chsVOR9e1hbQ</t>
  </si>
  <si>
    <t>Kendrick Lamar - luther (Official Audio)</t>
  </si>
  <si>
    <t>https://i.ytimg.com/vi/HfWLgELllZs/maxresdefault.jpg</t>
  </si>
  <si>
    <t>Kendrick Lamar</t>
  </si>
  <si>
    <t>https://www.youtube.com/channel/UC3lBXcrKFnFAFkfVk5WuKcQ</t>
  </si>
  <si>
    <t>Shaboozey - A Bar Song (Tipsy) [Official Visualizer]</t>
  </si>
  <si>
    <t>Shaboozey;Bar;Song;(Tipsy);[Official;Visualizer];American;Dogwood;EMPIRE;Country;Bar Song;Bar Song (Tipsy);Tipsy;Shaboozey Bar Song;Shaboozey Tipsy;Shaboozey 2024;Shaboozey new song;Shaboozey Bar Song (Tipsy) lyrics;Shaboozey Tipsy lyrics;Shaboozey Bar Song lyrics;Shaboozey music;Shaboozey music video;Bar Song (Tipsy) song;Bar Song song;Tipsy song;Bar Song (Tipsy) songs;Bar Song songs;Tipsy songs;Shaboozey video</t>
  </si>
  <si>
    <t>https://i.ytimg.com/vi/t7bQwwqW-Hc/maxresdefault.jpg</t>
  </si>
  <si>
    <t>Shaboozey</t>
  </si>
  <si>
    <t>https://www.youtube.com/channel/UCmdsVknXGS2145yy8eQvplw</t>
  </si>
  <si>
    <t>Kendrick Lamar - Not Like Us</t>
  </si>
  <si>
    <t>Kendrick Lamar;Kendrick Lamar, under exclusive license to Interscope Records;Hip Hop</t>
  </si>
  <si>
    <t>https://i.ytimg.com/vi/H58vbez_m4E/maxresdefault.jpg</t>
  </si>
  <si>
    <t>https://www.youtube.com/channel/UCoYfzC2zMlc9M-Odgaf6OSg</t>
  </si>
  <si>
    <t>LISA - BORN AGAIN feat. Doja Cat &amp; RAYE (Official Music Video)</t>
  </si>
  <si>
    <t>Blackpink;Lisa;Music;Fashion;K-Pop;kpop;LLoud;dance;dancing;lili;lilifilms;korea;Doja Cat;RAYE;Born Again LISA;Born Again Doja Cat;Born Again RAYE;LISA Doja Cat;If you tried just a little more hard;Made you a believer;Every single night;To be born again;lillies;blinks;à¸¥à¸´à¸‹à¹ˆà¸²;à¹€à¸à¸´à¸”à¹ƒà¸«à¸¡à¹ˆ;ë‹¤ì‹œ íƒœì–´ë‚˜ë‹¤;à¹à¸šà¸¥à¹‡à¸à¸žà¸´à¸‡à¸à¹Œ;ë¸”ëž™í•‘í¬;à¸¥à¸¥à¸²à¸§;ë¼ìš°ë“œ;à¸£à¹‡à¸­à¸à¸ªà¸•à¸²à¸£à¹Œ;ë½ìŠ¤íƒ€;à¹€à¸‡à¸´à¸™;ë¨¸ë‹ˆ;à¹‚à¸”à¸ˆà¸² à¹à¸„à¸—;ë„ìž ìº£;à¹€à¸£à¸¢à¹Œ;ë ˆì´;à¸œà¸¹à¹‰à¸«à¸à¸´à¸‡à¸¢à¸¸à¸„à¹ƒà¸«à¸¡à¹ˆ;New Woman;Rockstar;Money;Alter Ego;LISA Alter Ego</t>
  </si>
  <si>
    <t>https://i.ytimg.com/vi/kbEC-AGr9n0/maxresdefault.jpg</t>
  </si>
  <si>
    <t>LLOUD Official</t>
  </si>
  <si>
    <t>https://www.youtube.com/channel/UC6-BgjsBa5R3PZQ_kZ8hKPg</t>
  </si>
  <si>
    <t>C'zah - Vent | Official Music Video</t>
  </si>
  <si>
    <t>dancehall;reggae;onerpm;Music;official;audio;video;jamaica;reggae music;dancehall 2025 mix;new music;trop life;dancehall music;reggae 2025;trending;jamaican;caribbean music;trinidad and tobago;trap;best dancehall;trending music;YouTube music;2025</t>
  </si>
  <si>
    <t>https://i.ytimg.com/vi/5rkMCX-1xqE/maxresdefault.jpg</t>
  </si>
  <si>
    <t>C'zah</t>
  </si>
  <si>
    <t>https://www.youtube.com/channel/UCrhnxJJV7DZfpbHh4iWjHNQ</t>
  </si>
  <si>
    <t>Lola Young - Messy (Official Video)</t>
  </si>
  <si>
    <t>lola young;lolayoung;#lolayoung;lola young music;lola young video;messy;lola young messy;messy lola young;lola young lyrics;lola young messy lyrics;messy lyrics;messy lola young lyrics;lola young conceited;lola messy;messy lola;lola;flicker of light lola young;lola young wish you were dead;lola young don't hate me;lola young messi;messy song;i'm too messy;cause i'm too messy;i'm too messy and then i'm too clean</t>
  </si>
  <si>
    <t>https://i.ytimg.com/vi/k-k2_Liofy8/maxresdefault.jpg</t>
  </si>
  <si>
    <t>Lola Young</t>
  </si>
  <si>
    <t>https://www.youtube.com/channel/UCl1xqndU6q93JAwny39BmHw</t>
  </si>
  <si>
    <t>Teddy Swims - Bad Dreams (Official Music Video)</t>
  </si>
  <si>
    <t>teddy swims;lose control;lose control live performance;teddy swims lose control;teddy swims lyrics;teddy;swims;lose;control;teddy swims lyric video;soul music;soul artist;teddy swims busking;teddy swims viral video;bad dreams;teddy bad dreams;teddy swims bad dreams;bad dreams release;good dreams;teddy swims nightmares</t>
  </si>
  <si>
    <t>https://i.ytimg.com/vi_webp/Qh8QwVYOSVU/maxresdefault.webp</t>
  </si>
  <si>
    <t>Teddy Swims</t>
  </si>
  <si>
    <t>https://www.youtube.com/channel/UCb-ikMqe9iS8GjG7WgGwCrQ</t>
  </si>
  <si>
    <t>JENNIE, Doechii - ExtraL (Official Video)</t>
  </si>
  <si>
    <t>JENNIE;Jennie Kim;JENNIE MV;JENNIE Solo;ZEN;Ruby;JENNIE Ruby;Mantra;JENNIE Album;JENNIE New Music;JENNIE New Song;This That Pretty Girl Mantra;JENNIE Mantra;JENNIE from BLACKPINK;BLACKPINK;BLACKPINK JENNIE;Dance;Fashion;KPop;BLINKs;OddAtelier;Odd Atelier;Love Hangover;Love Hangover Lyrics;JENNIE Lyrics;JENNIE Doechii;JENNIE ExtraL;JENNIE XL;Doechii XL;Do My Ladies Run This;Cole Bennet;Lyrical Lemonade;JENNIE Rap;JENNIE Rapping</t>
  </si>
  <si>
    <t>https://i.ytimg.com/vi/eWAdpUyzCkI/maxresdefault.jpg</t>
  </si>
  <si>
    <t>JENNIE</t>
  </si>
  <si>
    <t>https://www.youtube.com/channel/UCN9_L9lA9kqJbGANLRus_1A</t>
  </si>
  <si>
    <t>Sabrina Carpenter - Please Please Please</t>
  </si>
  <si>
    <t>https://i.ytimg.com/vi/cF1Na4AIecM/maxresdefault.jpg</t>
  </si>
  <si>
    <t>JWAVY - SUNSET (FEAT. MARIBASED1) [MUSIC VIDEO]</t>
  </si>
  <si>
    <t>Seattle music;Hiphop;rap;underground scene;independent artist;music;sunset;summertime;sun;Jwavy;maribased1;Seattle music is real;food;animals;cheep;music video;podcast;tv;west coast;east coast;northwest;dirty south;sports;travel;Facebook;TikTok;YouTube;reels;shorts;shortz;fights;shooting;march;cat;dog;animation;animated;amine;anime;power rangers;PokÃ©mon</t>
  </si>
  <si>
    <t>https://i.ytimg.com/vi/LfQAyH-ISnU/sddefault.jpg?sqp=-oaymwEmCIAFEOAD8quKqQMa8AEB-AH-CYAC0AWKAgwIABABGH8gXCgmMA8=&amp;rs=AOn4CLCGimp6iXs0M7lxfCxONbfPNK14Cw</t>
  </si>
  <si>
    <t>S.M.I.R Seattle Music Is Real</t>
  </si>
  <si>
    <t>https://www.youtube.com/channel/UCPBBdCqnlw2C0iCZfu5gbIw</t>
  </si>
  <si>
    <t>Tommy Richman - MILLION DOLLAR BABY (Official Lyric Video) SHOT BY BELVEDERE</t>
  </si>
  <si>
    <t>https://i.ytimg.com/vi_webp/bUX8MDNQda4/maxresdefault.webp</t>
  </si>
  <si>
    <t>Tommy Richman</t>
  </si>
  <si>
    <t>https://www.youtube.com/channel/UC7eumlwt8zpmN5ECgjlJS4A</t>
  </si>
  <si>
    <t>Sabrina Carpenter - Manchild (Official Video)</t>
  </si>
  <si>
    <t>Sabrina Carpenter;Island Records;Pop;Manchild;New Music;2025</t>
  </si>
  <si>
    <t>https://i.ytimg.com/vi/aSugSGCC12I/maxresdefault.jpg</t>
  </si>
  <si>
    <t>Doechii - Anxiety (Official Video)</t>
  </si>
  <si>
    <t>Doechii;Top Dawg Entertainment/Capitol Records;Hip Hop</t>
  </si>
  <si>
    <t>https://i.ytimg.com/vi/riCP9x31Kuk/maxresdefault.jpg</t>
  </si>
  <si>
    <t>Doechii</t>
  </si>
  <si>
    <t>https://www.youtube.com/channel/UC9bzTEvPeXjS6uyirHHRIvw</t>
  </si>
  <si>
    <t>Adam Port, Stryv - Move feat. Malachiii (Extended Version)</t>
  </si>
  <si>
    <t>https://i.ytimg.com/vi/95dB-ObZ7Ho/maxresdefault.jpg</t>
  </si>
  <si>
    <t>keinemusik</t>
  </si>
  <si>
    <t>https://www.youtube.com/channel/UCYzx8QoAiRb69fEgyBInAug</t>
  </si>
  <si>
    <t>Tutipsy &amp; Niickii - Afro Disco (Visualizer)</t>
  </si>
  <si>
    <t>https://i.ytimg.com/vi_webp/dtJg6bjrUuo/maxresdefault.webp</t>
  </si>
  <si>
    <t>NIICKII</t>
  </si>
  <si>
    <t>https://www.youtube.com/channel/UChcyluLsfj0geOTyuFbakEg</t>
  </si>
  <si>
    <t>Billie Eilish - CHIHIRO (Official Music Video)</t>
  </si>
  <si>
    <t>https://i.ytimg.com/vi/BY_XwvKogC8/maxresdefault.jpg</t>
  </si>
  <si>
    <t>Sabrina Carpenter - Taste (Official Video)</t>
  </si>
  <si>
    <t>https://i.ytimg.com/vi/KEG7b851Ric/maxresdefault.jpg</t>
  </si>
  <si>
    <t>Post Malone - I Had Some Help (feat. Morgan Wallen) (Official Video)</t>
  </si>
  <si>
    <t>Post Malone;Morgan Wallen;Country;post malone morgan wallen;post malone had some help;had some help;had some help post malone;had some help morgan wallen;morgan wallen post malone;morgan wallen had some help;post malone morgan wallen had some help</t>
  </si>
  <si>
    <t>https://i.ytimg.com/vi/4QIZE708gJ4/maxresdefault.jpg</t>
  </si>
  <si>
    <t>Post Malone</t>
  </si>
  <si>
    <t>https://www.youtube.com/channel/UCOhtMAg7xh8wv_wUHMgFc-Q</t>
  </si>
  <si>
    <t>Gracie Abrams - Thatâ€™s So True (Official Lyric Video)</t>
  </si>
  <si>
    <t>Gracie Abrams;under exclusive license to Interscope Records;Pop</t>
  </si>
  <si>
    <t>https://i.ytimg.com/vi/BDHM8cyJQa8/maxresdefault.jpg</t>
  </si>
  <si>
    <t>Gracie Abrams</t>
  </si>
  <si>
    <t>https://www.youtube.com/channel/UCVFRVXH1hRoWkmpKCRmLMiQ</t>
  </si>
  <si>
    <t>NIGHT SKIES (Official Music Video)</t>
  </si>
  <si>
    <t>https://i.ytimg.com/vi/c4Zxc2gqfo8/sddefault.jpg</t>
  </si>
  <si>
    <t>Chxnny</t>
  </si>
  <si>
    <t>https://www.youtube.com/channel/UCcA274LONuELr75YPaWi1-g</t>
  </si>
  <si>
    <t>SEVDALIZA - ALIBI FT. PABLLO VITTAR &amp; YSEULT (OFFICIAL MUSIC VIDEO)</t>
  </si>
  <si>
    <t>https://i.ytimg.com/vi_webp/qVqFuokjRMc/maxresdefault.webp</t>
  </si>
  <si>
    <t>Sevdaliza</t>
  </si>
  <si>
    <t>https://www.youtube.com/channel/UCONnf7g7QfOqzM3etLECtUA</t>
  </si>
  <si>
    <t>Myles Smith - Stargazing (Take My Heart Donâ€™t Break It) - Visualiser</t>
  </si>
  <si>
    <t>myles smith music;miles smith music;myles smith new song;miles smith new song;miles smith acoustic ep;myles smith acoustic ep;myles smith new music;miles smith new music;new acoustic music;myles smith;miles smith;myles smith stargazing;miles smith stargazing;myles smith stargazing video;miles smith stargazing video;myles smith star gazing video;miles smith star gazing video;myles smith star gazing;miles smith star gazing;stargazing video;stargazing</t>
  </si>
  <si>
    <t>https://i.ytimg.com/vi_webp/9p9EauIOPm8/maxresdefault.webp</t>
  </si>
  <si>
    <t>Myles Smith</t>
  </si>
  <si>
    <t>https://www.youtube.com/channel/UCZfbjzBfq81Dt1Fvrnbsj5w</t>
  </si>
  <si>
    <t>ROSEÌ - number one girl (official music video)</t>
  </si>
  <si>
    <t>YG Entertainment;YG;ì™€ì´ì§€;K-pop;BLACKPINK;ë¸”ëž™í•‘í¬;ë¸”í•‘;ë¡œì œ;RosÃ©;BLINK;ë¸”ë§í¬;rosÃ©;number one girl rose;rose number one girl;rosie;rosie number one girl;number one girl rosie;number one girl music video;rosie number one girl music video;rose number one girl music video;rosÃ© number one girl;number one girl rosÃ©;number one girl;number one girl video;rose album;rosie album;rosÃ© album</t>
  </si>
  <si>
    <t>https://i.ytimg.com/vi_webp/pZ1NdE69VTs/maxresdefault.webp</t>
  </si>
  <si>
    <t>squabble up</t>
  </si>
  <si>
    <t>https://i.ytimg.com/vi_webp/fuV4yQWdn_4/maxresdefault.webp</t>
  </si>
  <si>
    <t>ROLE MODEL - Sally, When The Wine Runs Out (Official Music Video)</t>
  </si>
  <si>
    <t>ROLE MODEL;Sally When The Wine Runs Out;ROLE MODEL Sally;Sally When The Wine Runs Out lyrics;ROLE MODEL new song;ROLE MODEL music video;ROLE MODEL official;ROLE MODEL Sally lyrics;Sally When The Wine Runs Out song;ROLE MODEL indie pop;ROLE MODEL songs;ROLE MODEL music;Sally When The Wine Runs Out audio;Sally When The Wine Runs Out official;ROLE MODEL Sally official;ROLE MODEL pop;Sally When The Wine Runs Out ROLE MODEL;ROLE MODEL track</t>
  </si>
  <si>
    <t>https://i.ytimg.com/vi/F1oKhsy8wGw/maxresdefault.jpg</t>
  </si>
  <si>
    <t>ROLE MODEL</t>
  </si>
  <si>
    <t>https://www.youtube.com/channel/UC09LoQMXJ0hwdTkJwQLGW7Q</t>
  </si>
  <si>
    <t>ROSEÌ - toxic till the end (OFFICIAL MUSIC VIDEO)</t>
  </si>
  <si>
    <t>YG Entertainment;YG;ì™€ì´ì§€;K-pop;BLACKPINK;ë¸”ëž™í•‘í¬;ë¸”í•‘;ë¡œì œ;RosÃ©;BLINK;ë¸”ë§í¬;ROSÃ‰;rosie;rosie album;rose album;rose blackpink album;rose blackpink;toxic till the end;toxic til the end;toxic till the end music video;rose toxic till the end;rose toxic til the end;rose toxic till the end video;rose toxic til the end music video</t>
  </si>
  <si>
    <t>https://i.ytimg.com/vi/eA0lHNZ1KCA/maxresdefault.jpg</t>
  </si>
  <si>
    <t>Chappell Roan - Good Luck, Babe! (Official Lyric Video)</t>
  </si>
  <si>
    <t>Chappell Roan;Chappell Roan PS/ Island;Pop</t>
  </si>
  <si>
    <t>https://i.ytimg.com/vi/1RKqOmSkGgM/maxresdefault.jpg</t>
  </si>
  <si>
    <t>Chappell Roan</t>
  </si>
  <si>
    <t>https://www.youtube.com/channel/UCBoNpX06hjs3_ASFftQEmww</t>
  </si>
  <si>
    <t>LISA - NEW WOMAN feat. RosalÃ­a (Official Music Video)</t>
  </si>
  <si>
    <t>Blackpink;Lisa;Music;K-Pop;kpop;LLoud;lalisa;lily;lillies;blink;blinks;pop;pop music;lloud lisa;rockstar;money;latin music;rosalia;new woman;lisa and rosalia;à¸¥à¸´à¸‹à¹ˆà¸²;à¸¥à¸¥à¸´à¸©à¸²;à¸¥à¸´à¸¥à¸µà¹ˆ;à¸”à¸­à¸à¸¥à¸´à¸¥à¸¥à¸µà¹ˆ;à¹à¸šà¸¥à¹‡à¸à¸žà¸´à¸‡à¸à¹Œ;à¸šà¸¥à¸´à¹‰à¸‡;à¸šà¸¥à¸´à¹‰à¸‡à¸ªà¹Œ;à¹€à¸„à¸›à¹Šà¸­à¸›;à¸›à¹Šà¸­à¸›;à¹€à¸žà¸¥à¸‡à¸›à¹Šà¸­à¸›;à¸¥à¸¥à¸²à¸§;à¸¥à¸¥à¸²à¸§ à¸¥à¸´à¸‹à¹ˆà¸²;à¸£à¹‡à¸­à¸à¸ªà¸•à¸²à¸£à¹Œ;à¹€à¸‡à¸´à¸™;à¹€à¸žà¸¥à¸‡à¸¥à¸°à¸•à¸´à¸™;à¹‚à¸£à¸‹à¸²à¹€à¸¥à¸µà¸¢;à¸œà¸¹à¹‰à¸«à¸à¸´à¸‡à¸¢à¸¸à¸„à¹ƒà¸«à¸¡à¹ˆ;à¸¥à¸´à¸‹à¹ˆà¸²à¹à¸¥à¸°à¹‚à¸£à¸‹à¸²à¹€à¸¥à¸µà¸¢;ë¦¬ì‚¬;ë¼ë¦¬ì‚¬;ë¦´ë¦¬;ë°±í•©;ë¸”ëž™í•‘í¬;ë¸”ë§í¬;ë¸”ë§í¬ë“¤;ì¼€ì´íŒ;íŒ;íŒ ìŒì•…;ë¼ìš°ë“œ;ë¼ìš°ë“œ ë¦¬ì‚¬;ë½ìŠ¤íƒ€;ë¨¸ë‹ˆ;ë¼í‹´ ìŒì•…;ë¡œì‚´ë¦¬ì•„;ë‰´ ìš°ë¨¼;ë¦¬ì‚¬ì™€ ë¡œì‚´ë¦¬ì•„;Lisa y RosalÃ­a;Nueva Mujer;MÃºsica Latina;Dinero;MÃºsica Pop;Lirios;Lirio;ë¦´ë¦¬ë“¤</t>
  </si>
  <si>
    <t>https://i.ytimg.com/vi_webp/UxXY_hR_wzo/maxresdefault.webp</t>
  </si>
  <si>
    <t>Ed Sheeran - Azizam (Official Music Video)</t>
  </si>
  <si>
    <t>edsheeran;ed sheeran;official;official video;lyrics;azizam;azizam ed sheeran;new ed sheeran song;ed sheeran azizam;play;ed sheeran play;ed sheeran new music;meet me on the floor tonight;azizam song;azizam single;azizam my love;azizam new song;azizam out now;azizam music video;music video;azizam official video;azizam persian video;azizam persian music video;ed sheeran persian wedding;persian wedding;farsi;ed sheeran farsi;ed sheeran music video</t>
  </si>
  <si>
    <t>https://i.ytimg.com/vi_webp/MI9ZpIKgyf0/maxresdefault.webp</t>
  </si>
  <si>
    <t>PJ - The Real Thing</t>
  </si>
  <si>
    <t>pj;pj music;pj singer;pj songwriter;justpeej;peej;paris jones;paris jones singer;WaitingForParisPJ;ParisJonesPJ</t>
  </si>
  <si>
    <t>https://i.ytimg.com/vi/e2QaeKp8Lqo/sddefault.jpg?sqp=-oaymwEmCIAFEOAD8quKqQMa8AEB-AH-CYAC0AWKAgwIABABGGUgZShlMA8=&amp;rs=AOn4CLAZAYXfcq94DYSOs9KOHiVQkXc62Q</t>
  </si>
  <si>
    <t>PJ</t>
  </si>
  <si>
    <t>https://www.youtube.com/channel/UCjjl1CZ1tflymx1cWnBJ8oQ</t>
  </si>
  <si>
    <t>sombr - back to friends (official video)</t>
  </si>
  <si>
    <t>sombr;weak;caroline;willow;luke hemmings;nessa barrett;back to friends;can we go back to friends;do i ever cross your mind;makes me want you;alt;timothee chalamet;indie;moody;sombr music video;back to friends music video;back to friends official music video</t>
  </si>
  <si>
    <t>https://i.ytimg.com/vi_webp/c8zq4kAn_O0/maxresdefault.webp</t>
  </si>
  <si>
    <t>sombr</t>
  </si>
  <si>
    <t>https://www.youtube.com/channel/UCXlqFQmZZOb78teSnAqhuwA</t>
  </si>
  <si>
    <t>Jackson Wang - Made Me a Man (Official Music Video)</t>
  </si>
  <si>
    <t>jackson wang;team wang;88rising;got7;mirrors;magic man;magicman2</t>
  </si>
  <si>
    <t>https://i.ytimg.com/vi/vz-_ZtUh8P4/maxresdefault.jpg</t>
  </si>
  <si>
    <t>Jackson Wang</t>
  </si>
  <si>
    <t>https://www.youtube.com/channel/UCJS0K01yC8BmQtSuRdqqo3w</t>
  </si>
  <si>
    <t>David Guetta &amp; Sia - Beautiful People (Official Video)</t>
  </si>
  <si>
    <t>https://i.ytimg.com/vi/S2fSojJqyNY/maxresdefault.jpg</t>
  </si>
  <si>
    <t>David Guetta</t>
  </si>
  <si>
    <t>https://www.youtube.com/channel/UC1l7wYrva1qCH-wgqcHaaRg</t>
  </si>
  <si>
    <t>The Weeknd - SÃ£o Paulo (Official Music Video)</t>
  </si>
  <si>
    <t>The Weeknd;Anitta;XO Republic Records;sÃ£o paulo the weeknd;anitta the weeknd;sÃ£o paulo;anitta sao paulo;the weeknd sÃ£o paulo;anitta the weeknd traduÃ§Ã£o;sÃ£o paulo anitta the weeknd;anitta gravida;anitta sÃ£o paulo;anitta grÃ¡vida</t>
  </si>
  <si>
    <t>https://i.ytimg.com/vi/2kjolTLZ_Mg/maxresdefault.jpg</t>
  </si>
  <si>
    <t>The Weeknd</t>
  </si>
  <si>
    <t>https://www.youtube.com/channel/UCF_fDSgPpBQuh1MsUTgIARQ</t>
  </si>
  <si>
    <t>RAAHiiM feat. BEAM - WiiCKEDEST (Official Visualizer)</t>
  </si>
  <si>
    <t>https://i.ytimg.com/vi/tYo5aRDtjDs/maxresdefault.jpg</t>
  </si>
  <si>
    <t>RAAHiiM</t>
  </si>
  <si>
    <t>https://www.youtube.com/channel/UCWhdB4GqozqTpluGfZgZ_qQ</t>
  </si>
  <si>
    <t>David Guetta &amp; OneRepublic - I Don't Wanna Wait (Official Video)</t>
  </si>
  <si>
    <t>david guetta;one republic;ryan tedder;i dont wanna wait;david guetta songs;i dont wanna wait onerepublic;david guetta i dont wanna wait;ultra miami 2024;david guetta one republic;david guetta one republic i dont wanna wait;i dont wanna wait david guetta;david guetta live;umf 2024;i dont wanna wait by onerepublic;i dont wanna wait lyrics;i dont wanna wait live;i dont wanna wait ryan tedder;ultra music festival 2024 miami;David guetta 2024;David Guetta remix</t>
  </si>
  <si>
    <t>https://i.ytimg.com/vi_webp/dSDbwfXX5_I/maxresdefault.webp</t>
  </si>
  <si>
    <t>Drake - NOKIA (Official Music Video)</t>
  </si>
  <si>
    <t>Drake;OVO Sound;Hip-Hop</t>
  </si>
  <si>
    <t>https://i.ytimg.com/vi/8ekJMC8OtGU/maxresdefault.jpg</t>
  </si>
  <si>
    <t>Drake</t>
  </si>
  <si>
    <t>https://www.youtube.com/channel/UCQznUf1SjfDqx65hX3zRDiA</t>
  </si>
  <si>
    <t>The Weeknd - Cry For Me (Official Music Video)</t>
  </si>
  <si>
    <t>The Weeknd;XO Republic Records</t>
  </si>
  <si>
    <t>https://i.ytimg.com/vi/bn8gP5N8hqM/maxresdefault.jpg</t>
  </si>
  <si>
    <t>Tate McRae - Sports car (Official Video)</t>
  </si>
  <si>
    <t>Sports car;Tate McRae;tate mcrae so close to what;tate mcrae sports car;tate mcrae kid laroi;tate mcrae hands;tate mcrae itâ€™s ok iâ€™m ok;tate mcrae you broke me first;dont want him anyway girl take him;tate mcrae greedy;would want myself;tate mcrae think later;just want your two hands on me at all times baby;miss possessive world tour;new tate mcrae music;tate mcrae 2025</t>
  </si>
  <si>
    <t>https://i.ytimg.com/vi/7InTkBxPtK4/maxresdefault.jpg</t>
  </si>
  <si>
    <t>Tate McRae</t>
  </si>
  <si>
    <t>https://www.youtube.com/channel/UC-yW8iz7ICKv_bhuxLtcJaw</t>
  </si>
  <si>
    <t>GIVÄ’ON - RATHER BE (Official Music Video)</t>
  </si>
  <si>
    <t>giveon;like want you;new artist;epic;epic records;alicia fields;garden kisses;california;long beach;tempest;like want you video;giveon video;official music video;take time;new album;new music;r&amp;b;stuck on you;when it's all said and done;giveon lie again;lie again giveon;lie again;Heartbreak anniversary;Heartbreak anniversary giveon;Heartbreak giveon;Giveon heartbreak anniversary;Giveon lyrics;Justin Bieber;Drake;Justin Bieber giveon</t>
  </si>
  <si>
    <t>https://i.ytimg.com/vi/Yd1smtHpxaY/maxresdefault.jpg</t>
  </si>
  <si>
    <t>GIVÄ’ON</t>
  </si>
  <si>
    <t>https://www.youtube.com/channel/UCa3ZoB87QoSaLM0qODmrMfA</t>
  </si>
  <si>
    <t>Benson Boone - Slow It Down (Official Music Video)</t>
  </si>
  <si>
    <t>Benson Boone;Slow It Down Official Music Video;Benson Boone Slow It Down;Benson Boone Slow It Down Official Music Video;Benson Boone lyrics;Slow It Down lyrics;Benson Boone Slow It Down lyrics;Fireworks &amp; Rollerblades;Benson Boone Album;Album Benson Boone;Benson Boone Fireworks &amp; Rollerblades;Fireworks &amp; Rollerblades Benson Boone;Beautiful Things;slow it down;benson boone new song;slow it down benson boone;benson boone new music;new song;beautiful things</t>
  </si>
  <si>
    <t>https://i.ytimg.com/vi_webp/f4Y3b7un4LE/maxresdefault.webp</t>
  </si>
  <si>
    <t>Benson Boone</t>
  </si>
  <si>
    <t>https://www.youtube.com/channel/UCvILah8hAWYhYOmAG3ZjvBA</t>
  </si>
  <si>
    <t>Tate McRae - Just Keep Watching (From F1Â® The Movie) (Official Video)</t>
  </si>
  <si>
    <t>tate mcrea;tate mcrae young;Create with Tate;tate mcrae;tatemcrea;i wrote a song;singing;singer;original song;top originals 2018;best songs of 2018;songwriter;hot vocals;songwriting;best youtube songs 2018;best songs;the ellen show;best originals;shawn mendes;ariana grande;new music 2018;best songs of the week;top songs of 2018;new songs of 2018;songs of the week;top 10 songs of the week;charlie puth;new songs may 2018;sean lew;june 2018</t>
  </si>
  <si>
    <t>https://i.ytimg.com/vi/dpvQqmX6SUI/maxresdefault.jpg</t>
  </si>
  <si>
    <t>https://www.youtube.com/channel/UCQh6LB206jF3JxpCDD-fp5Q</t>
  </si>
  <si>
    <t>Charli xcx - Guess featuring billie eilish (official video)</t>
  </si>
  <si>
    <t>charli xcx;billie eilish;guess featuring billie eilish;guess feat. billie eilish;guess ft. billie eilish;charli xcx guess ft. billie eilish;charli ft. billie eilish;charli xcx ft. billie eilish;charli xcx guess featuring billie eilish;charli xcx guess;guess charli xcx;billie eilish guess;guess billie eilish;charli xcx billie eilish;billie eilish charli xcx;charli xcx - guess featuring billie eilish;guess featuring billie eilish - charli xcx;guess music video</t>
  </si>
  <si>
    <t>https://i.ytimg.com/vi_webp/huGd4efgdPA/maxresdefault.webp</t>
  </si>
  <si>
    <t>Charli xcx</t>
  </si>
  <si>
    <t>https://www.youtube.com/channel/UCOvEMf00DnwdkpOCRWdc6uA</t>
  </si>
  <si>
    <t>Alex Warren - Carry You Home (Official Video)</t>
  </si>
  <si>
    <t>alex warren;alex waarren;alex and kouvr;alex and kouvr proposal;alex and kouvr wedding;alex and kouvr married;tik tok music;tik tok viral;viral music;hits;pop hits</t>
  </si>
  <si>
    <t>https://i.ytimg.com/vi/d4iGZ_jP-1U/maxresdefault.jpg</t>
  </si>
  <si>
    <t>Roy Woods - You (Official Music Video)</t>
  </si>
  <si>
    <t>roy woods;roy;woods;ovo sound;ovo;october's very own;drama;down girl;drake;majid jordan;dvsn;plaza;baka not nice;jealousy;toronto;worth it;rnb;r&amp;b;hip hop;rap;Dark Nights;You</t>
  </si>
  <si>
    <t>https://i.ytimg.com/vi/gbyvssp6vHQ/sddefault.jpg?v=6835c5db</t>
  </si>
  <si>
    <t>Roy Woods</t>
  </si>
  <si>
    <t>https://www.youtube.com/channel/UCN_uuL0yjn9H5fnFqpo2S1w</t>
  </si>
  <si>
    <t>Maroon 5 - Priceless ft. LISA (Official Video)</t>
  </si>
  <si>
    <t>Maroon;LISA;222 Records/Interscope Records;Pop;ãƒžãƒ«ãƒ¼ãƒ³5;ë§ˆë£¬5;é­”åŠ›ç´…;é­”åŠ›çº¢;priceless;new music;2025;Baby;you're priceless;anything like this;all wanna do</t>
  </si>
  <si>
    <t>https://i.ytimg.com/vi/vaGf8fmtBr4/maxresdefault.jpg</t>
  </si>
  <si>
    <t>Maroon 5</t>
  </si>
  <si>
    <t>https://www.youtube.com/channel/UCN1hnUccO4FD5WfM7ithXaw</t>
  </si>
  <si>
    <t>Dean Lewis - With You (Official Video)</t>
  </si>
  <si>
    <t>Dean Lewis;Universal Music Australia Pty. Ltd.;Pop</t>
  </si>
  <si>
    <t>https://i.ytimg.com/vi/GurljGjfrVs/maxresdefault.jpg</t>
  </si>
  <si>
    <t>Dean Lewis</t>
  </si>
  <si>
    <t>https://www.youtube.com/channel/UCCsEkPFtMYnfQoTenSsur-w</t>
  </si>
  <si>
    <t>Benson Boone - Mystical Magical (Official Lyric Video)</t>
  </si>
  <si>
    <t>Benson Boone;Benson Boone lyrics;Benson Boone Album;Beautiful Things;benson boone new song;benson boone new music;Benson Boone New Music;benson boone lyrics;beautiful things;benson boone beautiful things;benson boones lyrics;benson boone coachella;benson boone mystical magical;mystical magical;mystical magical lyrics;benson boone mystical magical lyrics;mystical magical lyric video;benson boone mystical;benson boone new coachella song</t>
  </si>
  <si>
    <t>https://i.ytimg.com/vi_webp/U8QhB8_0t2g/maxresdefault.webp</t>
  </si>
  <si>
    <t>Tate McRae - Revolving door (Official Video)</t>
  </si>
  <si>
    <t>Sports car;tate mcrae sports car;tate mcrae kid laroi;tate mcrae hands;tate mcrae itâ€™s ok iâ€™m ok;tate mcrae you broke me first;dont want him anyway girl take him;tate mcrae greedy;would want myself;tate mcrae think later;miss possessive world tour;new tate mcrae music;tate mcrae 2025;revolving door;tate mcrae new album;so close to what tate mcrae;tayte mcray new album;revolving door official video;tate mcrae new video;2025 tate mcrae music</t>
  </si>
  <si>
    <t>https://i.ytimg.com/vi/rwlFWWGaZ5Y/maxresdefault.jpg</t>
  </si>
  <si>
    <t>Taylor Swift - Fortnight (feat. Post Malone) (Official Music Video)</t>
  </si>
  <si>
    <t>Taylor swift;taylor;swift;taylor swift ttpd;tortured poets department;new taylor swift;taylor swift album;ttpd anthology;taylor swift fortnight;fortnite taylor swift;taylor swift;taylor swift fortnight music video;taylor swift fortnight postmalone;fortnight taylor swift post malone;fortnight taylor swift music video;fortnite music video;fortnite taylor swift post malone;taylor swift for a fortnight;taylor swift the tortured poets department;taylor fortnight</t>
  </si>
  <si>
    <t>https://i.ytimg.com/vi/q3zqJs7JUCQ/maxresdefault.jpg</t>
  </si>
  <si>
    <t>Taylor Swift</t>
  </si>
  <si>
    <t>https://www.youtube.com/channel/UCqECaJ8Gagnn7YCbPEzWH6g</t>
  </si>
  <si>
    <t>Vex Prince - MONEY feat Dorty (Official Music Video)</t>
  </si>
  <si>
    <t>vexprincemoney;vexprincerwanda;vex;dortylattecha;vexprincedorty</t>
  </si>
  <si>
    <t>https://i.ytimg.com/vi/NArjrbHye2U/maxresdefault.jpg</t>
  </si>
  <si>
    <t>Vex Prince</t>
  </si>
  <si>
    <t>https://www.youtube.com/channel/UCUOJHORC9aycl9Tb2O4EKag</t>
  </si>
  <si>
    <t>d4vd - Feel It (Official Music Video)</t>
  </si>
  <si>
    <t>d4vd;Feel;Darkroom/Interscope;Records;Alternative</t>
  </si>
  <si>
    <t>https://i.ytimg.com/vi/vZi8ET9k11g/maxresdefault.jpg</t>
  </si>
  <si>
    <t>d4vd</t>
  </si>
  <si>
    <t>https://www.youtube.com/channel/UCSQ-IY_3aVGlPQp_QJl3-Yg</t>
  </si>
  <si>
    <t>Damiano David - Born With a Broken Heart (Official Video)</t>
  </si>
  <si>
    <t>Born With Broken Heart;Damiano David</t>
  </si>
  <si>
    <t>https://i.ytimg.com/vi/Z4-g8UXa944/maxresdefault.jpg</t>
  </si>
  <si>
    <t>Damiano David</t>
  </si>
  <si>
    <t>https://www.youtube.com/channel/UCcEJwxURVimfFFhBFSfgpQw</t>
  </si>
  <si>
    <t>Nelly Wap "Up Next" (Off The Porch Live Performance)</t>
  </si>
  <si>
    <t>dirtyglovebastard;dirty glove bastard;dgb;dgb off the porch;dirty glove bastard off the porch;off the porch;live performance;Nelly Wap;Nelly Wap UpNext;Nelly Wap live performance;Nelly Wap off the porch;Nelly Wap off the porch live performance;Nelly Wap dirty glove bastard;off the porch live performance;dirty glove bastard live performance;DGB live performance</t>
  </si>
  <si>
    <t>https://i.ytimg.com/vi/LAhwxJKLw-I/maxresdefault.jpg</t>
  </si>
  <si>
    <t>DGB Media</t>
  </si>
  <si>
    <t>https://www.youtube.com/channel/UC8kf66DpkoHiPlpylPuXMqw</t>
  </si>
  <si>
    <t>JENNIE &amp; Dua Lipa - Handlebars (Official Video)</t>
  </si>
  <si>
    <t>JENNIE;Jennie Kim;JENNIE MV;JENNIE Solo;ZEN;Ruby;JENNIE Ruby;Mantra;JENNIE Album;JENNIE New Music;JENNIE New Song;This That Pretty Girl Mantra;JENNIE Mantra;JENNIE from BLACKPINK;BLACKPINK;BLACKPINK JENNIE;Dance;Fashion;KPop;BLINKs;OddAtelier;Odd Atelier;Love Hangover;ExtraL;Like JENNIE;JENNIE Lyrics;JENNIE new album;Ruby Album;JENNIE Handlebars;JENNIE Dua Lipa;JENNIE Dua;Future Nostalgia;Radical Optimism;trip and fall in love</t>
  </si>
  <si>
    <t>https://i.ytimg.com/vi/seARsMwjbEU/maxresdefault.jpg</t>
  </si>
  <si>
    <t>SHOOP - CAPRIS (Official Music Video)</t>
  </si>
  <si>
    <t>indie pop;alt pop;indie pop 2025;alternative pop;male indie artists;indie pop music video;new indie music;underrated indie artists;indie pop vibes;bedroom pop;chill indie pop;late night drive songs;summer indie vibes;feel good indie music;songs like dominic fike;songs like role model;malcolm todd music;sombr music;junior varsity band;the 1975 vibes;aesthetic indie songs;viral indie pop;indie pop rising artist;alt pop playlist</t>
  </si>
  <si>
    <t>https://i.ytimg.com/vi/qtd280iQmNo/maxresdefault.jpg</t>
  </si>
  <si>
    <t>SHOOP</t>
  </si>
  <si>
    <t>https://www.youtube.com/channel/UCWT8LeR0mwoqoDbKeMmgxyQ</t>
  </si>
  <si>
    <t>Miley Cyrus - End of the World (Official Video)</t>
  </si>
  <si>
    <t>Miley;Something Beautiful;Miley Something Beautiful;New Miley;Miley Cyrus Album;Something Beautiful Album;Miley Trailer;Miley Visuals;Miley Film;Miley Music Video;Used To Be Young;Endless Summer Vacation;Flowers;can buy myself flowers;River;Jaded;Plastic Hearts;She Is Coming;Younger Now;Miley Cyrus Her Dead Petz;Bangerz;Canâ€™t Be Tamed;The Time Of Our Lives;Breakout;Meet Miley Cyrus;Hannah Montana;Wrecking Ball;We Canâ€™t Stop</t>
  </si>
  <si>
    <t>https://i.ytimg.com/vi/CXBFU97X61I/maxresdefault.jpg</t>
  </si>
  <si>
    <t>Miley Cyrus</t>
  </si>
  <si>
    <t>https://www.youtube.com/channel/UCdI8evszfZvyAl2UVCypkTA</t>
  </si>
  <si>
    <t>Ravyn Lenae - Love Me Not (Official Music Video)</t>
  </si>
  <si>
    <t>Ravyn Lenae;Raven Lenae;Rayvn Lenae;Ravyn Lenae Love Me Not;Love Me Not;Love Me Not Ravyn Lenae;Ravyn Lenae One Wish;Ravyn Lenae Genius;Birds Eye;Birds Eye Ravyn Lenae;Ravyn Lenae Birds Eye;Ravyn Lenae Concert;ravyn Lenae Live;Rayvn Lenae Sticky;Ravyn Lenae Skin Tight;Ravyn Lenae Moon Shoes;Ravyn Lenae AT&amp;T Block Party;Ravyn Lenae Performance;I miss you come here;Ravyn Lenae Hypnos;Ravyn Lenae Doechii;Ravyn Lenae Steve Lacy</t>
  </si>
  <si>
    <t>https://i.ytimg.com/vi/cswfR85D7jM/sddefault.jpg?v=6633f232</t>
  </si>
  <si>
    <t>Ravyn Lenae</t>
  </si>
  <si>
    <t>https://www.youtube.com/channel/UCtgNg5yxCyfjEE7Q7KeSmBw</t>
  </si>
  <si>
    <t>Tate McRae - It's ok I'm ok (Official Video)</t>
  </si>
  <si>
    <t>New Tate McRae;you can have him anyway;he so perfect;girl what version;THINK LATER Tate McRae;uh oh dance tate mcrae;exes tate mcrae;it is what it is and was what it was;greedy tate mcrae;baby dont get greedy;would want myself;tubegirl;think later world tour;its ok im ok tate mcrae;tate mcrae its ok im ok official video;sean bankhead;sabrina carpenter;chappell roan;olivia rodrigo;gracie abrams;tate mcrae new music 2024;tate mcrae dancing</t>
  </si>
  <si>
    <t>https://i.ytimg.com/vi/Bpaf6Dm9iRc/maxresdefault.jpg</t>
  </si>
  <si>
    <t>Myles Smith - Nice To Meet You (Official Video)</t>
  </si>
  <si>
    <t>Myles Smiht;Mylse Smith;Myels Smith;Mtles Smith;Mules Smith;Mhles Smith;Mypes Smith;Mymes Smith;Mykes Smith;Mylee Smith;Mylea Smith;Myled Smith;Mylew Smith;Myles Snith;Myles Skith;Myles Sjith;Myles Smoth;Myles Smuth;Myles Smkth;Myles Smirh;Myles Smigh;Myles Smiyh;Myles Smitn;Myles Smitt;Myles Smitg;Myles Smitb;Miles Smith;Miles Smiht;Milse Smith;Miels Smith;Moles Smith;Mkles Smith;Mipes Smith;Mimes Smith</t>
  </si>
  <si>
    <t>https://i.ytimg.com/vi/9VbDkDALT7w/maxresdefault.jpg</t>
  </si>
  <si>
    <t>https://www.youtube.com/channel/UCdE1usyA41BFzWwHbtlymrw</t>
  </si>
  <si>
    <t>Claudia Valentina - Candy (Official Video)</t>
  </si>
  <si>
    <t>Claudia Valentina;Claudia Valentina music;Claudia Valentina meovv demo;Claudia Valentina candy;Claudia Valentina lyrics;candy;Jennie mantra;girls to the yard;baddie tunes;femme fatale;my candy brings all the girls to the yard;kelis candy version;kelis milkshake;TikTok candy milkshake;seven Claudia Valentina;baddie playlist pop;meovv;drop top;quad;my milkshake brings all the boys to the yard;kelis;kelis milkshake lyrics;Pharrell williams</t>
  </si>
  <si>
    <t>https://i.ytimg.com/vi/XUd0xmK7fvY/maxresdefault.jpg</t>
  </si>
  <si>
    <t>Claudia Valentina</t>
  </si>
  <si>
    <t>https://www.youtube.com/channel/UCzcy-EepQ3Snt-twOTZ4hgg</t>
  </si>
  <si>
    <t>Lady Gaga - Disease (Official Music Video)</t>
  </si>
  <si>
    <t>Lady Gaga;Interscope Records;Pop</t>
  </si>
  <si>
    <t>https://i.ytimg.com/vi/fmC6b6_ovZY/maxresdefault.jpg</t>
  </si>
  <si>
    <t>Tyla - PUSH 2 START (Official Music Video)</t>
  </si>
  <si>
    <t>tyla;new artist;getting late;tyla to last;to last tyla;to last;last;kooldrink;epic;epic records;new music;fax records;electronic;electronic music;dance music;dj lag;overdue;tyla been thinking;been thinking tyla;been thinking;ayra starr;ayra starr tyla;tyla ayra starr girl next door;girl next door;tyla girl next door;ayra starr girl next door;girl next door tyla ayra starr;water;tyla water;water tyla;push start</t>
  </si>
  <si>
    <t>https://i.ytimg.com/vi/uLK2r3sG4lE/maxresdefault.jpg</t>
  </si>
  <si>
    <t>Tyla</t>
  </si>
  <si>
    <t>https://www.youtube.com/channel/UCr2xjaS7CIx1OY7hYwrXb8A</t>
  </si>
  <si>
    <t>Coldplay - ALL MY LOVE (Official Video)</t>
  </si>
  <si>
    <t>https://i.ytimg.com/vi_webp/pSeaHfkd3M8/maxresdefault.webp</t>
  </si>
  <si>
    <t>Coldplay</t>
  </si>
  <si>
    <t>https://www.youtube.com/channel/UCDPM_n1atn2ijUwHd0NNRQw</t>
  </si>
  <si>
    <t>JENNIE - Mantra (Official Video)</t>
  </si>
  <si>
    <t>Jennie Kim;JENNIE MV;JENNIE Solo;ZEN;Ruby;JENNIE Album;JENNIE New Music;JENNIE New Song;This That Pretty Girl Mantra;JENNIE Mantra;JENNIE from BLACKPINK;BLACKPINK;BLACKPINK JENNIE;Dance;Fashion;KPop;BLINKs;OddAtelier;Odd Atelier;JENNIE;K-Pop;Mantra</t>
  </si>
  <si>
    <t>https://i.ytimg.com/vi/bB3-CUMERIU/maxresdefault.jpg</t>
  </si>
  <si>
    <t>The Weeknd - Open Hearts (Official Video)</t>
  </si>
  <si>
    <t>https://i.ytimg.com/vi/Bn-3ICGjz0U/maxresdefault.jpg</t>
  </si>
  <si>
    <t>InsÃ£ne Shinobi &amp; Johnnie Noct - REVENGE (Official Music Video)</t>
  </si>
  <si>
    <t>revenge xxxtentacion;revenge;Rap;jpegmafia;jpegmafia type beat;xxxtentacion type beat;xxxtentacion songs;alternative rock;anime edits;childish gambino;music videos 2025;Music Video;music videos rap;japanese rap music;japanese rapper;kanye west;tyler the creator;nujabes;mf doom;mf doom type beat;jid;jid type beat;insane;insaneshinobi;shinobi;ninja turtles;official music video;denzel curry;denzel curry type beat;andre 3000;andre 3000 type beat;outkast</t>
  </si>
  <si>
    <t>https://i.ytimg.com/vi_webp/-o-naEnzgp4/maxresdefault.webp</t>
  </si>
  <si>
    <t>InsÃ£ne Shinobi</t>
  </si>
  <si>
    <t>https://www.youtube.com/channel/UCgsFH_OLVCcqzIfR8N6Ka9Q</t>
  </si>
  <si>
    <t>Imagine Dragons - Take Me To The Beach (feat. Ado) (Official Lyric Video)</t>
  </si>
  <si>
    <t>Imagine Dragons;Take Me To The Beach;Remix;LOOM;Ado;Japanese Artist;Rock;Alternative;Pop;J-Pop</t>
  </si>
  <si>
    <t>https://i.ytimg.com/vi/5Duje_sZko8/maxresdefault.jpg</t>
  </si>
  <si>
    <t>ImagineDragons</t>
  </si>
  <si>
    <t>https://www.youtube.com/channel/UCpx_k19S2vUutWUUM9qmXEg</t>
  </si>
  <si>
    <t>Justin Bieber - DAISIES (Audio)</t>
  </si>
  <si>
    <t>Justin Bieber;Justin Bieber 2021 PS/ Def Jam;Pop</t>
  </si>
  <si>
    <t>https://i.ytimg.com/vi_webp/msGuqelopMA/maxresdefault.webp</t>
  </si>
  <si>
    <t>Justin Bieber</t>
  </si>
  <si>
    <t>https://www.youtube.com/channel/UCHkj014U2CQ2Nv0UZeYpE_A</t>
  </si>
  <si>
    <t>Sabrina Carpenter - Bed Chem (Official Lyric Video)</t>
  </si>
  <si>
    <t>https://i.ytimg.com/vi_webp/x8VkB8ap_FQ/maxresdefault.webp</t>
  </si>
  <si>
    <t>Dua Lipa - Illusion (Official Music Video)</t>
  </si>
  <si>
    <t>dua lipa;dua;new rules;dua leepa;idgaf;scared to be lonely;be the one;future nostalgia;don't start now;let's get physical;break my heart;radical optimism;training season;houdini;pop;dance;music;chart music;illusion;dula peep;DL3;DL2;choreo;dua lipa dancing</t>
  </si>
  <si>
    <t>https://i.ytimg.com/vi_webp/a9cyG_yfh1k/maxresdefault.webp</t>
  </si>
  <si>
    <t>Dua Lipa</t>
  </si>
  <si>
    <t>https://www.youtube.com/channel/UC-J-KZfRV8c13fOCkhXdLiQ</t>
  </si>
  <si>
    <t>Sabrina Carpenter - Busy Woman (Official Lyric Video)</t>
  </si>
  <si>
    <t>Sabrina Carpenter;Island Records;Pop;busy woman;new sabrina;sabrina deluxe;espresso;please please please;taste;short;sweet;2025;new music;busy;woman;if you need my love;be my perfect mrs;coming over to your place</t>
  </si>
  <si>
    <t>https://i.ytimg.com/vi/3m6NBnqLc-g/maxresdefault.jpg</t>
  </si>
  <si>
    <t>Addison Rae - Diet Pepsi (Official Video)</t>
  </si>
  <si>
    <t>Addison Rae New Song;Addison Rae New Music;AddisonRe;TikTok;Viral;die;Charli xcx;Brat;Music Video Pop;Addison Rae;Diet Pepsi</t>
  </si>
  <si>
    <t>https://i.ytimg.com/vi/Hki6RqI-eMA/maxresdefault.jpg</t>
  </si>
  <si>
    <t>Addison Rae</t>
  </si>
  <si>
    <t>https://www.youtube.com/channel/UC3Cs0kPcr0GQPCVzX32NQPg</t>
  </si>
  <si>
    <t>Ryan Collins - Stars n Stripes (Official Music Video)</t>
  </si>
  <si>
    <t>Ryan Collins;iDreamology;Hip Hop/Rap</t>
  </si>
  <si>
    <t>https://i.ytimg.com/vi/axhYeY8zG70/maxresdefault.jpg</t>
  </si>
  <si>
    <t>RyanCollinsVEVO</t>
  </si>
  <si>
    <t>https://www.youtube.com/channel/UC3_qhEitTtkh2PJGvtZLsZA</t>
  </si>
  <si>
    <t>Sabrina Carpenter - Juno (Official Lyric Video)</t>
  </si>
  <si>
    <t>https://i.ytimg.com/vi_webp/1aMCVgRKcP4/maxresdefault.webp</t>
  </si>
  <si>
    <t>David Guetta, Alphaville &amp; Ava Max - Forever Young (Official Music Video)</t>
  </si>
  <si>
    <t>https://i.ytimg.com/vi_webp/_AfmgOpoCHI/maxresdefault.webp</t>
  </si>
  <si>
    <t>keshi - Soft Spot (Official Music Video)</t>
  </si>
  <si>
    <t>keshi;Island Records;Pop</t>
  </si>
  <si>
    <t>https://i.ytimg.com/vi/4Lmcadu8ghM/maxresdefault.jpg</t>
  </si>
  <si>
    <t>keshi</t>
  </si>
  <si>
    <t>https://www.youtube.com/channel/UCuCRWL0H5WnXmPBJ3JdbVLA</t>
  </si>
  <si>
    <t>Tyla x Wizkid - DYNAMITE (Official Music Video)</t>
  </si>
  <si>
    <t>tyla;new artist;getting late;tyla to last;to last tyla;to last;last;kooldrink;epic;epic records;new music;fax records;electronic;electronic music;dance music;dj lag;overdue;tyla been thinking;been thinking tyla;been thinking;ayra starr;ayra starr tyla;tyla ayra starr girl next door;girl next door;tyla girl next door;ayra starr girl next door;girl next door tyla ayra starr;water;tyla water;water tyla;tyla bliss;DYNAMITE;Tyla Wizkid</t>
  </si>
  <si>
    <t>https://i.ytimg.com/vi/CQIYbytAyVQ/maxresdefault.jpg</t>
  </si>
  <si>
    <t>Ariana Grande - intro (end of the world) (extended) (lyric visualizer)</t>
  </si>
  <si>
    <t>Ariana Grande;Republic Records;Pop</t>
  </si>
  <si>
    <t>https://i.ytimg.com/vi/ztotaQ79eek/maxresdefault.jpg</t>
  </si>
  <si>
    <t>Ariana Grande</t>
  </si>
  <si>
    <t>https://www.youtube.com/channel/UC0VOyT2OCBKdQhF3BAbZ-1g</t>
  </si>
  <si>
    <t>Maz Univerze - Heroes (Official Music Video)</t>
  </si>
  <si>
    <t>https://i.ytimg.com/vi/I44iglOjrBI/maxresdefault.jpg</t>
  </si>
  <si>
    <t>Maz Univerze</t>
  </si>
  <si>
    <t>https://www.youtube.com/channel/UCLQxyu1bZW4E4Y0KJf4o8UQ</t>
  </si>
  <si>
    <t>Taylor Swift - Guilty as Sin (Official Lyric Video)</t>
  </si>
  <si>
    <t>taylor swift;taylor;swift;taylor swift ttpd;tortured poets department;new taylor swift;taylor swift album;ts ttpd;ttpd anthology;taylor swift tortured poets department;taylor swift lyrics;the tortured poets department</t>
  </si>
  <si>
    <t>https://i.ytimg.com/vi_webp/OOYlWF6V8t8/maxresdefault.webp</t>
  </si>
  <si>
    <t>Selena Gomez, benny blanco - Sunset Blvd (Official Video)</t>
  </si>
  <si>
    <t>Selena Gomez;benny blanco;SMG Music LLC Friends Keep Secrets under exclusive license to Interscope Records;Pop</t>
  </si>
  <si>
    <t>https://i.ytimg.com/vi/nJG5CWsne8E/maxresdefault.jpg</t>
  </si>
  <si>
    <t>Selena Gomez</t>
  </si>
  <si>
    <t>https://www.youtube.com/channel/UCjK8ORC71kwyj1DWFwril_A</t>
  </si>
  <si>
    <t>Justin Bieber - YUKON</t>
  </si>
  <si>
    <t>justin;bieber;justinbieber;purpose;myworld;journals;baby;yummy;believe;never say never;under the mistletoe;10000 hours;i dont care;sorry;love yourself;let me love you;im the one;no brainer;cold water;beauty and a beat;what do you mean;as long as you love me;boyfriend;justice;hold on;peaches;anyone;stuck with u;freedom;swag;yukon;daisies;cole;cole bennett;lyrical lemonade;hailey;hailey bieber;biebs;walking away;go baby;slide;slide city;r&amp;b;hiphop;pop</t>
  </si>
  <si>
    <t>https://i.ytimg.com/vi_webp/fXivMSJm_kA/maxresdefault.webp</t>
  </si>
  <si>
    <t>https://www.youtube.com/channel/UCIwFjwMjI0y7PDBVEO9-bkQ</t>
  </si>
  <si>
    <t>Ariana Grande - twilight zone (Official Lyric Video)</t>
  </si>
  <si>
    <t>https://i.ytimg.com/vi/x1XIJM6spaE/maxresdefault.jpg</t>
  </si>
  <si>
    <t>Gracie Abrams - I Love You, Iâ€™m Sorry (Official Music Video)</t>
  </si>
  <si>
    <t>Gracie Abrams;Gracie Abrams, under exclusive license to Interscope Records;Pop</t>
  </si>
  <si>
    <t>https://i.ytimg.com/vi/uxjhN_Donfw/maxresdefault.jpg</t>
  </si>
  <si>
    <t>HoodTrophy Bino ft. FCG Heem - Miami (Official Music Video)</t>
  </si>
  <si>
    <t>https://i.ytimg.com/vi_webp/I-gmbHgeN1I/maxresdefault.webp</t>
  </si>
  <si>
    <t>HoodTrophy Bino</t>
  </si>
  <si>
    <t>https://www.youtube.com/channel/UCsaZi3QZrZ5-skEIPPNrV_w</t>
  </si>
  <si>
    <t>Sean Paul x INNA - Let It Talk To Me</t>
  </si>
  <si>
    <t>Sean Paul</t>
  </si>
  <si>
    <t>https://i.ytimg.com/vi_webp/nkRyAVQdqAA/maxresdefault.webp</t>
  </si>
  <si>
    <t>https://www.youtube.com/channel/UCkdc7gHpavxpgGalxKbgSHA</t>
  </si>
  <si>
    <t>Selena Gomez, benny blanco - How Does It Feel To Be Forgotten (Official Lyric Video)</t>
  </si>
  <si>
    <t>Selena Gomez;benny blanco;SMG Music LLC Friends Keep Secrets under exclusive license to Interscope Records;Pop;How Does It Feel To Be Forgotten;Said Love You First;New Selena Music;New Selena Album;Selena and benny</t>
  </si>
  <si>
    <t>https://i.ytimg.com/vi/4LcNr0T2yAA/maxresdefault.jpg</t>
  </si>
  <si>
    <t>Title</t>
  </si>
  <si>
    <t>View_Count</t>
  </si>
  <si>
    <t>Categories</t>
  </si>
  <si>
    <t>Tags</t>
  </si>
  <si>
    <t>Duration</t>
  </si>
  <si>
    <t>Duration_String</t>
  </si>
  <si>
    <t>Live_Status</t>
  </si>
  <si>
    <t>Thumbnail</t>
  </si>
  <si>
    <t>Channel</t>
  </si>
  <si>
    <t>Channel_Url</t>
  </si>
  <si>
    <t>Channel_Follower_Count</t>
  </si>
  <si>
    <t>GIVAON</t>
  </si>
  <si>
    <t>Insane Shinobi</t>
  </si>
  <si>
    <t>ROSA</t>
  </si>
  <si>
    <t>Reneac Rapp</t>
  </si>
  <si>
    <t>GIVAON - RATHER BE (Official Music Video)</t>
  </si>
  <si>
    <t>Gracie Abrams - That's So True (Official Lyric Video)</t>
  </si>
  <si>
    <t>Insane Shinobi &amp; Johnnie Noct - REVENGE (Official Music Video)</t>
  </si>
  <si>
    <t>Gracie Abrams - I Love You, Iam Sorry (Official Music Video)</t>
  </si>
  <si>
    <t>ROSE &amp; Bruno Mars - APT. (Official Music Video)</t>
  </si>
  <si>
    <t>Reneac Rapp - Leave Me Alone (Official Music Video)</t>
  </si>
  <si>
    <t>Reneac Rapp - Mad (Official Music Video)</t>
  </si>
  <si>
    <t>ROSE - number one girl (official music video)</t>
  </si>
  <si>
    <t>ROSE - toxic till the end (OFFICIAL MUSIC VIDEO)</t>
  </si>
  <si>
    <t>LISA - NEW WOMAN feat. Rosala (Official Music Video)</t>
  </si>
  <si>
    <t>The Weeknd - So Paulo (Official Music Video)</t>
  </si>
  <si>
    <t>YG Entertainment;YG;K-pop;BLACKPINK;Rosa;BLINK;bruno mars;APT.;apt;apartment game;meet me at the;meet me at the apt;bruno mars rose apt;rose;rosesarerosie;rose apt;rose apt music video;rose apt video;rose bruno mars;rose bruno mars kiss;rose kiss</t>
  </si>
  <si>
    <t>Lady Gaga;Interscope Records;Pop;lady gaga abracadabra;lady gaga abracadabra traducao;lady gaga brasil;lady gaga copacabana;abracadabra musica;abracadabra musica;lady gaga abracadabra legendado;ãƒ¬ãƒ‡ã‚£ãƒ¼ãƒ»ã‚¬ã‚¬;ë ˆì´ë”” ê°€ê°€;å¥³ç¥žå¡å¡;å˜Žå˜Žå°å§;abracadabra;2025;mayhem</t>
  </si>
  <si>
    <t>YG Entertainment;YG;K-pop;BLACKPINK;Rosa;BLINK;rosa;number one girl rose;rose number one girl;rosie;rosie number one girl;number one girl rosie;number one girl music video;rosie number one girl music video;rose number one girl music video;rosÃ© number one girl;number one girl rosÃ©;number one girl;number one girl video;rose album;rosie album;rosÃ© album</t>
  </si>
  <si>
    <t>Blackpink;Lisa;Music;K-Pop;kpop;LLoud;lalisa;lily;lillies;blink;blinks;pop;pop music;lloud lisa;rockstar;money;latin music;rosalia;new woman;lisa and rosalia;Lisa y Rosal­a;Nueva Mujer;Musica Latina;Dinero; Pop;Lirios;Lirio;ë¦´ë¦¬ë“¤</t>
  </si>
  <si>
    <t>The Weeknd;Anitta;XO Republic Records;so paulo the weeknd;anitta the weeknd;so paulo;anitta sao paulo;the weeknd so paulo;anitta the weekend traduo;sÃ£o paulo anitta the weeknd;anitta gravida;anitta so paulo;anitta grÃ¡vida</t>
  </si>
  <si>
    <t>Sports car;Tate McRae;tate mcrae so close to what;tate mcrae sports car;tate mcrae kid laroi;tate mcrae hands;tate mcrae it's ok iam ok;tate mcrae you broke me first;dont want him anyway girl take him;tate mcrae greedy;would want myself;tate mcrae think later;just want your two hands on me at all times baby;miss possessive world tour;new tate mcrae music;tate mcrae 2025</t>
  </si>
  <si>
    <t>Maroon;LISA;222 Records/Interscope Records;Pop;priceless;new music;2025;Baby;you're priceless;anything like this;all wanna do</t>
  </si>
  <si>
    <t>Sum of View_Count</t>
  </si>
  <si>
    <t>Grand Total</t>
  </si>
  <si>
    <t>Average of Duration</t>
  </si>
  <si>
    <t>Zillionaire Doe</t>
  </si>
  <si>
    <t xml:space="preserve">Total views by Channel </t>
  </si>
  <si>
    <t xml:space="preserve">Average duration by Category </t>
  </si>
  <si>
    <t>Max and min follower count:</t>
  </si>
  <si>
    <t>Maximum:</t>
  </si>
  <si>
    <t>Minimum:</t>
  </si>
  <si>
    <t>Average video Duration:</t>
  </si>
  <si>
    <t>Channels</t>
  </si>
  <si>
    <t>Total_vie_count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</si>
</sst>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20" fontId="0" fillId="0" borderId="0" xfId="0" applyNumberForma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8" fillId="0" borderId="0" xfId="42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20" fillId="0" borderId="10" xfId="0" pivotButton="1" applyFont="1" applyBorder="1"/>
    <xf numFmtId="0" fontId="20" fillId="0" borderId="10" xfId="0" applyFont="1" applyBorder="1"/>
    <xf numFmtId="0" fontId="0" fillId="0" borderId="10" xfId="0" applyNumberFormat="1" applyBorder="1" applyAlignment="1">
      <alignment horizontal="center"/>
    </xf>
    <xf numFmtId="0" fontId="20" fillId="0" borderId="10" xfId="0" pivotButton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0" xfId="0" applyFont="1"/>
    <xf numFmtId="0" fontId="19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20" fontId="0" fillId="0" borderId="10" xfId="0" applyNumberFormat="1" applyBorder="1" applyAlignment="1">
      <alignment horizontal="center"/>
    </xf>
    <xf numFmtId="0" fontId="18" fillId="0" borderId="10" xfId="42" applyBorder="1"/>
    <xf numFmtId="0" fontId="21" fillId="0" borderId="10" xfId="0" applyFont="1" applyBorder="1"/>
    <xf numFmtId="0" fontId="21" fillId="34" borderId="10" xfId="0" applyFont="1" applyFill="1" applyBorder="1"/>
    <xf numFmtId="0" fontId="19" fillId="3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9" fillId="0" borderId="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alignment horizontal="center"/>
    </dxf>
    <dxf>
      <alignment horizontal="center"/>
    </dxf>
    <dxf>
      <font>
        <sz val="15"/>
      </font>
    </dxf>
    <dxf>
      <font>
        <sz val="15"/>
      </font>
    </dxf>
    <dxf>
      <alignment horizontal="center"/>
    </dxf>
    <dxf>
      <font>
        <sz val="15"/>
      </font>
    </dxf>
    <dxf>
      <font>
        <sz val="15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daraj.R" refreshedDate="46062.865589004628" createdVersion="8" refreshedVersion="8" minRefreshableVersion="3" recordCount="100" xr:uid="{F672476C-C94E-4240-86C8-7496134E8886}">
  <cacheSource type="worksheet">
    <worksheetSource ref="A1:L101" sheet="Task2-Data cleaning"/>
  </cacheSource>
  <cacheFields count="12">
    <cacheField name="Title" numFmtId="0">
      <sharedItems/>
    </cacheField>
    <cacheField name="View_Count" numFmtId="0">
      <sharedItems containsSemiMixedTypes="0" containsString="0" containsNumber="1" containsInteger="1" minValue="1161" maxValue="2009014557"/>
    </cacheField>
    <cacheField name="Categories" numFmtId="0">
      <sharedItems count="2">
        <s v="Music"/>
        <s v="People &amp; Blogs"/>
      </sharedItems>
    </cacheField>
    <cacheField name="Tags" numFmtId="0">
      <sharedItems containsBlank="1" longText="1"/>
    </cacheField>
    <cacheField name="Duration" numFmtId="0">
      <sharedItems containsSemiMixedTypes="0" containsString="0" containsNumber="1" containsInteger="1" minValue="120" maxValue="354"/>
    </cacheField>
    <cacheField name="Duration_String" numFmtId="20">
      <sharedItems containsSemiMixedTypes="0" containsNonDate="0" containsDate="1" containsString="0" minDate="1899-12-30T02:00:00" maxDate="1899-12-30T05:54:00"/>
    </cacheField>
    <cacheField name="Live_Status" numFmtId="0">
      <sharedItems/>
    </cacheField>
    <cacheField name="Thumbnail" numFmtId="0">
      <sharedItems/>
    </cacheField>
    <cacheField name="Channel" numFmtId="0">
      <sharedItems count="65">
        <s v="ROSA"/>
        <s v="Lady Gaga"/>
        <s v="Reneac Rapp"/>
        <s v="Billie Eilish"/>
        <s v="Sabrina Carpenter"/>
        <s v="Ed Sheeran"/>
        <s v="yung kai"/>
        <s v="Zillionaire Doe "/>
        <s v="Alex Warren"/>
        <s v="Kendrick Lamar"/>
        <s v="Shaboozey"/>
        <s v="LLOUD Official"/>
        <s v="C'zah"/>
        <s v="Lola Young"/>
        <s v="Teddy Swims"/>
        <s v="JENNIE"/>
        <s v="S.M.I.R Seattle Music Is Real"/>
        <s v="Tommy Richman"/>
        <s v="Doechii"/>
        <s v="keinemusik"/>
        <s v="NIICKII"/>
        <s v="Post Malone"/>
        <s v="Gracie Abrams"/>
        <s v="Chxnny"/>
        <s v="Sevdaliza"/>
        <s v="Myles Smith"/>
        <s v="ROLE MODEL"/>
        <s v="Chappell Roan"/>
        <s v="PJ"/>
        <s v="sombr"/>
        <s v="Jackson Wang"/>
        <s v="David Guetta"/>
        <s v="The Weeknd"/>
        <s v="RAAHiiM"/>
        <s v="Drake"/>
        <s v="Tate McRae"/>
        <s v="GIVAON"/>
        <s v="Benson Boone"/>
        <s v="Charli xcx"/>
        <s v="Roy Woods"/>
        <s v="Maroon 5"/>
        <s v="Dean Lewis"/>
        <s v="Taylor Swift"/>
        <s v="Vex Prince"/>
        <s v="d4vd"/>
        <s v="Damiano David"/>
        <s v="DGB Media"/>
        <s v="SHOOP"/>
        <s v="Miley Cyrus"/>
        <s v="Ravyn Lenae"/>
        <s v="Claudia Valentina"/>
        <s v="Tyla"/>
        <s v="Coldplay"/>
        <s v="Insane Shinobi"/>
        <s v="ImagineDragons"/>
        <s v="Justin Bieber"/>
        <s v="Dua Lipa"/>
        <s v="Addison Rae"/>
        <s v="RyanCollinsVEVO"/>
        <s v="keshi"/>
        <s v="Ariana Grande"/>
        <s v="Maz Univerze"/>
        <s v="Selena Gomez"/>
        <s v="HoodTrophy Bino"/>
        <s v="Sean Paul"/>
      </sharedItems>
    </cacheField>
    <cacheField name="Channel2" numFmtId="0">
      <sharedItems/>
    </cacheField>
    <cacheField name="Channel_Url" numFmtId="0">
      <sharedItems/>
    </cacheField>
    <cacheField name="Channel_Follower_Count" numFmtId="0">
      <sharedItems containsSemiMixedTypes="0" containsString="0" containsNumber="1" containsInteger="1" minValue="1" maxValue="76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ndaraj.R" refreshedDate="46062.872750115741" backgroundQuery="1" createdVersion="8" refreshedVersion="8" minRefreshableVersion="3" recordCount="0" supportSubquery="1" supportAdvancedDrill="1" xr:uid="{8AB10683-DA38-4EB4-98A6-83FDCC160813}">
  <cacheSource type="external" connectionId="1"/>
  <cacheFields count="3">
    <cacheField name="[Range].[Channel].[Channel]" caption="Channel" numFmtId="0" hierarchy="8" level="1">
      <sharedItems count="65">
        <s v="Addison Rae"/>
        <s v="Alex Warren"/>
        <s v="Ariana Grande"/>
        <s v="Benson Boone"/>
        <s v="Billie Eilish"/>
        <s v="Chappell Roan"/>
        <s v="Charli xcx"/>
        <s v="Chxnny"/>
        <s v="Claudia Valentina"/>
        <s v="Coldplay"/>
        <s v="C'zah"/>
        <s v="d4vd"/>
        <s v="Damiano David"/>
        <s v="David Guetta"/>
        <s v="Dean Lewis"/>
        <s v="DGB Media"/>
        <s v="Doechii"/>
        <s v="Drake"/>
        <s v="Dua Lipa"/>
        <s v="Ed Sheeran"/>
        <s v="GIVAON"/>
        <s v="Gracie Abrams"/>
        <s v="HoodTrophy Bino"/>
        <s v="ImagineDragons"/>
        <s v="Insane Shinobi"/>
        <s v="Jackson Wang"/>
        <s v="JENNIE"/>
        <s v="Justin Bieber"/>
        <s v="keinemusik"/>
        <s v="Kendrick Lamar"/>
        <s v="keshi"/>
        <s v="Lady Gaga"/>
        <s v="LLOUD Official"/>
        <s v="Lola Young"/>
        <s v="Maroon 5"/>
        <s v="Maz Univerze"/>
        <s v="Miley Cyrus"/>
        <s v="Myles Smith"/>
        <s v="NIICKII"/>
        <s v="PJ"/>
        <s v="Post Malone"/>
        <s v="RAAHiiM"/>
        <s v="Ravyn Lenae"/>
        <s v="Reneac Rapp"/>
        <s v="ROLE MODEL"/>
        <s v="ROSA"/>
        <s v="Roy Woods"/>
        <s v="RyanCollinsVEVO"/>
        <s v="S.M.I.R Seattle Music Is Real"/>
        <s v="Sabrina Carpenter"/>
        <s v="Sean Paul"/>
        <s v="Selena Gomez"/>
        <s v="Sevdaliza"/>
        <s v="Shaboozey"/>
        <s v="SHOOP"/>
        <s v="sombr"/>
        <s v="Tate McRae"/>
        <s v="Taylor Swift"/>
        <s v="Teddy Swims"/>
        <s v="The Weeknd"/>
        <s v="Tommy Richman"/>
        <s v="Tyla"/>
        <s v="Vex Prince"/>
        <s v="yung kai"/>
        <s v="Zillionaire Doe"/>
      </sharedItems>
    </cacheField>
    <cacheField name="[Measures].[Sum of Channel_Follower_Count]" caption="Sum of Channel_Follower_Count" numFmtId="0" hierarchy="14" level="32767"/>
    <cacheField name="[Measures].[Sum of View_Count]" caption="Sum of View_Count" numFmtId="0" hierarchy="15" level="32767"/>
  </cacheFields>
  <cacheHierarchies count="16">
    <cacheHierarchy uniqueName="[Range].[Title]" caption="Title" attribute="1" defaultMemberUniqueName="[Range].[Title].[All]" allUniqueName="[Range].[Title].[All]" dimensionUniqueName="[Range]" displayFolder="" count="0" memberValueDatatype="130" unbalanced="0"/>
    <cacheHierarchy uniqueName="[Range].[View_Count]" caption="View_Count" attribute="1" defaultMemberUniqueName="[Range].[View_Count].[All]" allUniqueName="[Range].[View_Count].[All]" dimensionUniqueName="[Range]" displayFolder="" count="0" memberValueDatatype="20" unbalanced="0"/>
    <cacheHierarchy uniqueName="[Range].[Categories]" caption="Categories" attribute="1" defaultMemberUniqueName="[Range].[Categories].[All]" allUniqueName="[Range].[Categories].[All]" dimensionUniqueName="[Range]" displayFolder="" count="0" memberValueDatatype="130" unbalanced="0"/>
    <cacheHierarchy uniqueName="[Range].[Tags]" caption="Tags" attribute="1" defaultMemberUniqueName="[Range].[Tags].[All]" allUniqueName="[Range].[Tags].[All]" dimensionUniqueName="[Range]" displayFolder="" count="0" memberValueDatatype="130" unbalanced="0"/>
    <cacheHierarchy uniqueName="[Range].[Duration]" caption="Duration" attribute="1" defaultMemberUniqueName="[Range].[Duration].[All]" allUniqueName="[Range].[Duration].[All]" dimensionUniqueName="[Range]" displayFolder="" count="0" memberValueDatatype="20" unbalanced="0"/>
    <cacheHierarchy uniqueName="[Range].[Duration_String]" caption="Duration_String" attribute="1" time="1" defaultMemberUniqueName="[Range].[Duration_String].[All]" allUniqueName="[Range].[Duration_String].[All]" dimensionUniqueName="[Range]" displayFolder="" count="0" memberValueDatatype="7" unbalanced="0"/>
    <cacheHierarchy uniqueName="[Range].[Live_Status]" caption="Live_Status" attribute="1" defaultMemberUniqueName="[Range].[Live_Status].[All]" allUniqueName="[Range].[Live_Status].[All]" dimensionUniqueName="[Range]" displayFolder="" count="0" memberValueDatatype="11" unbalanced="0"/>
    <cacheHierarchy uniqueName="[Range].[Thumbnail]" caption="Thumbnail" attribute="1" defaultMemberUniqueName="[Range].[Thumbnail].[All]" allUniqueName="[Range].[Thumbnail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hannel 2]" caption="Channel 2" attribute="1" defaultMemberUniqueName="[Range].[Channel 2].[All]" allUniqueName="[Range].[Channel 2].[All]" dimensionUniqueName="[Range]" displayFolder="" count="0" memberValueDatatype="130" unbalanced="0"/>
    <cacheHierarchy uniqueName="[Range].[Channel_Url]" caption="Channel_Url" attribute="1" defaultMemberUniqueName="[Range].[Channel_Url].[All]" allUniqueName="[Range].[Channel_Url].[All]" dimensionUniqueName="[Range]" displayFolder="" count="0" memberValueDatatype="130" unbalanced="0"/>
    <cacheHierarchy uniqueName="[Range].[Channel_Follower_Count]" caption="Channel_Follower_Count" attribute="1" defaultMemberUniqueName="[Range].[Channel_Follower_Count].[All]" allUniqueName="[Range].[Channel_Follower_Coun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hannel_Follower_Count]" caption="Sum of Channel_Follower_C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View_Count]" caption="Sum of View_C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ROSE &amp; Bruno Mars - APT. (Official Music Video)"/>
    <n v="2009014557"/>
    <x v="0"/>
    <s v="YG Entertainment;YG;K-pop;BLACKPINK;Rosa;BLINK;bruno mars;APT.;apt;apartment game;meet me at the;meet me at the apt;bruno mars rose apt;rose;rosesarerosie;rose apt;rose apt music video;rose apt video;rose bruno mars;rose bruno mars kiss;rose kiss"/>
    <n v="173"/>
    <d v="1899-12-30T02:53:00"/>
    <b v="0"/>
    <s v="https://i.ytimg.com/vi_webp/ekr2nIex040/maxresdefault.webp"/>
    <x v="0"/>
    <s v="ROSA"/>
    <s v="https://www.youtube.com/channel/UCBo1hnzxV9rz3WVsv__Rn1g"/>
    <n v="19200000"/>
  </r>
  <r>
    <s v="Lady Gaga, Bruno Mars - Die With A Smile (Official Music Video)"/>
    <n v="1324833300"/>
    <x v="0"/>
    <s v="Lady Gaga;Bruno Mars;Interscope;Pop"/>
    <n v="252"/>
    <d v="1899-12-30T04:12:00"/>
    <b v="0"/>
    <s v="https://i.ytimg.com/vi/kPa7bsKwL-c/maxresdefault.jpg"/>
    <x v="1"/>
    <s v="Lady Gaga"/>
    <s v="https://www.youtube.com/channel/UC07Kxew-cMIaykMOkzqHtBQ"/>
    <n v="29600000"/>
  </r>
  <r>
    <s v="Reneac Rapp - Leave Me Alone (Official Music Video)"/>
    <n v="2536628"/>
    <x v="0"/>
    <s v="ReneÃ© Rapp;Interscope Records;Pop"/>
    <n v="160"/>
    <d v="1899-12-30T02:40:00"/>
    <b v="0"/>
    <s v="https://i.ytimg.com/vi/tiPWzFLiz4A/maxresdefault.jpg"/>
    <x v="2"/>
    <s v="Reneac Rapp"/>
    <s v="https://www.youtube.com/channel/UCZy4ki_L4bzw9LdJ1TgQy6Q"/>
    <n v="408000"/>
  </r>
  <r>
    <s v="Billie Eilish - BIRDS OF A FEATHER (Official Music Video)"/>
    <n v="558329099"/>
    <x v="0"/>
    <s v="Billie Eilish;Darkroom/Interscope Records;Alternative"/>
    <n v="231"/>
    <d v="1899-12-30T03:51:00"/>
    <b v="0"/>
    <s v="https://i.ytimg.com/vi/V9PVRfjEBTI/maxresdefault.jpg"/>
    <x v="3"/>
    <s v="Billie Eilish"/>
    <s v="https://www.youtube.com/channel/UCDGmojLIoWpXok597xYo8cg"/>
    <n v="56800000"/>
  </r>
  <r>
    <s v="Reneac Rapp - Mad (Official Music Video)"/>
    <n v="2113548"/>
    <x v="0"/>
    <s v="ReneÃ© Rapp;Interscope Records;Pop"/>
    <n v="180"/>
    <d v="1899-12-30T03:00:00"/>
    <b v="0"/>
    <s v="https://i.ytimg.com/vi/xkWQM3flsiY/maxresdefault.jpg"/>
    <x v="2"/>
    <s v="Reneac Rapp"/>
    <s v="https://www.youtube.com/channel/UCZy4ki_L4bzw9LdJ1TgQy6Q"/>
    <n v="408000"/>
  </r>
  <r>
    <s v="Sabrina Carpenter - Espresso"/>
    <n v="472570966"/>
    <x v="0"/>
    <s v="Sabrina Carpenter;Island Records;Pop"/>
    <n v="201"/>
    <d v="1899-12-30T03:21:00"/>
    <b v="0"/>
    <s v="https://i.ytimg.com/vi/eVli-tstM5E/maxresdefault.jpg"/>
    <x v="4"/>
    <s v="Sabrina Carpenter"/>
    <s v="https://www.youtube.com/channel/UC4mYKePIas5YgGfYZ2J2OxQ"/>
    <n v="12300000"/>
  </r>
  <r>
    <s v="Lady Gaga - Abracadabra (Official Music Video)"/>
    <n v="191073418"/>
    <x v="0"/>
    <s v="Lady Gaga;Interscope Records;Pop;lady gaga abracadabra;lady gaga abracadabra traducao;lady gaga brasil;lady gaga copacabana;abracadabra musica;abracadabra musica;lady gaga abracadabra legendado;ãƒ¬ãƒ‡ã‚£ãƒ¼ãƒ»ã‚¬ã‚¬;ë ˆì´ë”” ê°€ê°€;å¥³ç¥žå¡å¡;å˜Žå˜Žå°å§;abracadabra;2025;mayhem"/>
    <n v="269"/>
    <d v="1899-12-30T04:29:00"/>
    <b v="0"/>
    <s v="https://i.ytimg.com/vi/vBynw9Isr28/maxresdefault.jpg"/>
    <x v="1"/>
    <s v="Lady Gaga"/>
    <s v="https://www.youtube.com/channel/UC07Kxew-cMIaykMOkzqHtBQ"/>
    <n v="29600000"/>
  </r>
  <r>
    <s v="Ed Sheeran - Sapphire (Official Music Video)"/>
    <n v="184696317"/>
    <x v="0"/>
    <s v="edsheeran;ed sheeran;acoustic;live;cover;official;remix;official video;lyrics;session;ed sheeran sapphire;ed sheeran india;sapphire;ed sheeran music video;ed sheeran video;ed sheeran play;ed sheeran sapphire lyrics;sapphire lyrics;sapphire music video;ed sheeran sapphire india;sapphire india;sapphire official music video;sapphire ed sheeran;ed sheeran official video;sapphire play;official music video;sapphire lyrics ed sheeran;arijit singh"/>
    <n v="183"/>
    <d v="1899-12-30T03:03:00"/>
    <b v="0"/>
    <s v="https://i.ytimg.com/vi_webp/JgDNFQ2RaLQ/maxresdefault.webp"/>
    <x v="5"/>
    <s v="Ed Sheeran"/>
    <s v="https://www.youtube.com/channel/UC0C-w0YjGpqDXGB8IHb662A"/>
    <n v="58500000"/>
  </r>
  <r>
    <s v="yung kai - blue (official music video)"/>
    <n v="187281056"/>
    <x v="1"/>
    <s v="yung kai;blue;tiktok viral;tik tok;wave to earth;keshi;beabadoobee;laufey;mxmtoon;w2e;kpop;yung kai blue;blue yung kai;kai blue;blue kai;wild flower;wildflower;yung kai wildflower;wildflower yung kai;blue official music video;blue music vide;blue audio;blue official audio;blue lyrics"/>
    <n v="221"/>
    <d v="1899-12-30T03:41:00"/>
    <b v="0"/>
    <s v="https://i.ytimg.com/vi_webp/IpFX2vq8HKw/maxresdefault.webp"/>
    <x v="6"/>
    <s v="yung kai"/>
    <s v="https://www.youtube.com/channel/UCy1FLad-XXw7QZGNuNIuMow"/>
    <n v="1220000"/>
  </r>
  <r>
    <s v="Billie Eilish - WILDFLOWER (BILLIE BY FINNEAS)"/>
    <n v="40408980"/>
    <x v="0"/>
    <s v="Billie Eilish;Darkroom/Interscope Records;Alternative"/>
    <n v="261"/>
    <d v="1899-12-30T04:21:00"/>
    <b v="0"/>
    <s v="https://i.ytimg.com/vi/IWKyykQBRKo/maxresdefault.jpg"/>
    <x v="3"/>
    <s v="Billie Eilish"/>
    <s v="https://www.youtube.com/channel/UCDGmojLIoWpXok597xYo8cg"/>
    <n v="56800000"/>
  </r>
  <r>
    <s v="Zillionaire Doe - How It's Going (Official Video)"/>
    <n v="1198540"/>
    <x v="1"/>
    <m/>
    <n v="152"/>
    <d v="1899-12-30T02:32:00"/>
    <b v="0"/>
    <s v="https://i.ytimg.com/vi/PDcDcSTiL4g/maxresdefault.jpg"/>
    <x v="7"/>
    <s v="Zillionaire Doe"/>
    <s v="https://www.youtube.com/channel/UCbVdo2e1hDYR95X53ttMbTg"/>
    <n v="142000"/>
  </r>
  <r>
    <s v="Alex Warren - Ordinary (Official Video)"/>
    <n v="147871443"/>
    <x v="1"/>
    <m/>
    <n v="187"/>
    <d v="1899-12-30T03:07:00"/>
    <b v="0"/>
    <s v="https://i.ytimg.com/vi_webp/u2ah9tWTkmk/maxresdefault.webp"/>
    <x v="8"/>
    <s v="Alex Warren"/>
    <s v="https://www.youtube.com/channel/UCX2Pm1JoWF3chsVOR9e1hbQ"/>
    <n v="4050000"/>
  </r>
  <r>
    <s v="Kendrick Lamar - luther (Official Audio)"/>
    <n v="142084039"/>
    <x v="1"/>
    <m/>
    <n v="178"/>
    <d v="1899-12-30T02:58:00"/>
    <b v="0"/>
    <s v="https://i.ytimg.com/vi/HfWLgELllZs/maxresdefault.jpg"/>
    <x v="9"/>
    <s v="Kendrick Lamar"/>
    <s v="https://www.youtube.com/channel/UC3lBXcrKFnFAFkfVk5WuKcQ"/>
    <n v="19700000"/>
  </r>
  <r>
    <s v="Shaboozey - A Bar Song (Tipsy) [Official Visualizer]"/>
    <n v="288277902"/>
    <x v="0"/>
    <s v="Shaboozey;Bar;Song;(Tipsy);[Official;Visualizer];American;Dogwood;EMPIRE;Country;Bar Song;Bar Song (Tipsy);Tipsy;Shaboozey Bar Song;Shaboozey Tipsy;Shaboozey 2024;Shaboozey new song;Shaboozey Bar Song (Tipsy) lyrics;Shaboozey Tipsy lyrics;Shaboozey Bar Song lyrics;Shaboozey music;Shaboozey music video;Bar Song (Tipsy) song;Bar Song song;Tipsy song;Bar Song (Tipsy) songs;Bar Song songs;Tipsy songs;Shaboozey video"/>
    <n v="173"/>
    <d v="1899-12-30T02:53:00"/>
    <b v="0"/>
    <s v="https://i.ytimg.com/vi/t7bQwwqW-Hc/maxresdefault.jpg"/>
    <x v="10"/>
    <s v="Shaboozey"/>
    <s v="https://www.youtube.com/channel/UCmdsVknXGS2145yy8eQvplw"/>
    <n v="955000"/>
  </r>
  <r>
    <s v="Kendrick Lamar - Not Like Us"/>
    <n v="397228595"/>
    <x v="0"/>
    <s v="Kendrick Lamar;Kendrick Lamar, under exclusive license to Interscope Records;Hip Hop"/>
    <n v="354"/>
    <d v="1899-12-30T05:54:00"/>
    <b v="0"/>
    <s v="https://i.ytimg.com/vi/H58vbez_m4E/maxresdefault.jpg"/>
    <x v="9"/>
    <s v="Kendrick Lamar"/>
    <s v="https://www.youtube.com/channel/UCoYfzC2zMlc9M-Odgaf6OSg"/>
    <n v="19700000"/>
  </r>
  <r>
    <s v="LISA - BORN AGAIN feat. Doja Cat &amp; RAYE (Official Music Video)"/>
    <n v="115058148"/>
    <x v="0"/>
    <s v="Blackpink;Lisa;Music;Fashion;K-Pop;kpop;LLoud;dance;dancing;lili;lilifilms;korea;Doja Cat;RAYE;Born Again LISA;Born Again Doja Cat;Born Again RAYE;LISA Doja Cat;If you tried just a little more hard;Made you a believer;Every single night;To be born again;lillies;blinks;à¸¥à¸´à¸‹à¹ˆà¸²;à¹€à¸à¸´à¸”à¹ƒà¸«à¸¡à¹ˆ;ë‹¤ì‹œ íƒœì–´ë‚˜ë‹¤;à¹à¸šà¸¥à¹‡à¸à¸žà¸´à¸‡à¸à¹Œ;ë¸”ëž™í•‘í¬;à¸¥à¸¥à¸²à¸§;ë¼ìš°ë“œ;à¸£à¹‡à¸­à¸à¸ªà¸•à¸²à¸£à¹Œ;ë½ìŠ¤íƒ€;à¹€à¸‡à¸´à¸™;ë¨¸ë‹ˆ;à¹‚à¸”à¸ˆà¸² à¹à¸„à¸—;ë„ìž ìº£;à¹€à¸£à¸¢à¹Œ;ë ˆì´;à¸œà¸¹à¹‰à¸«à¸à¸´à¸‡à¸¢à¸¸à¸„à¹ƒà¸«à¸¡à¹ˆ;New Woman;Rockstar;Money;Alter Ego;LISA Alter Ego"/>
    <n v="244"/>
    <d v="1899-12-30T04:04:00"/>
    <b v="0"/>
    <s v="https://i.ytimg.com/vi/kbEC-AGr9n0/maxresdefault.jpg"/>
    <x v="11"/>
    <s v="LLOUD Official"/>
    <s v="https://www.youtube.com/channel/UC6-BgjsBa5R3PZQ_kZ8hKPg"/>
    <n v="8080000"/>
  </r>
  <r>
    <s v="C'zah - Vent | Official Music Video"/>
    <n v="12089"/>
    <x v="0"/>
    <s v="dancehall;reggae;onerpm;Music;official;audio;video;jamaica;reggae music;dancehall 2025 mix;new music;trop life;dancehall music;reggae 2025;trending;jamaican;caribbean music;trinidad and tobago;trap;best dancehall;trending music;YouTube music;2025"/>
    <n v="189"/>
    <d v="1899-12-30T03:09:00"/>
    <b v="0"/>
    <s v="https://i.ytimg.com/vi/5rkMCX-1xqE/maxresdefault.jpg"/>
    <x v="12"/>
    <s v="C'zah"/>
    <s v="https://www.youtube.com/channel/UCrhnxJJV7DZfpbHh4iWjHNQ"/>
    <n v="1320"/>
  </r>
  <r>
    <s v="Lola Young - Messy (Official Video)"/>
    <n v="110991682"/>
    <x v="0"/>
    <s v="lola young;lolayoung;#lolayoung;lola young music;lola young video;messy;lola young messy;messy lola young;lola young lyrics;lola young messy lyrics;messy lyrics;messy lola young lyrics;lola young conceited;lola messy;messy lola;lola;flicker of light lola young;lola young wish you were dead;lola young don't hate me;lola young messi;messy song;i'm too messy;cause i'm too messy;i'm too messy and then i'm too clean"/>
    <n v="284"/>
    <d v="1899-12-30T04:44:00"/>
    <b v="0"/>
    <s v="https://i.ytimg.com/vi/k-k2_Liofy8/maxresdefault.jpg"/>
    <x v="13"/>
    <s v="Lola Young"/>
    <s v="https://www.youtube.com/channel/UCl1xqndU6q93JAwny39BmHw"/>
    <n v="565000"/>
  </r>
  <r>
    <s v="Teddy Swims - Bad Dreams (Official Music Video)"/>
    <n v="160421970"/>
    <x v="0"/>
    <s v="teddy swims;lose control;lose control live performance;teddy swims lose control;teddy swims lyrics;teddy;swims;lose;control;teddy swims lyric video;soul music;soul artist;teddy swims busking;teddy swims viral video;bad dreams;teddy bad dreams;teddy swims bad dreams;bad dreams release;good dreams;teddy swims nightmares"/>
    <n v="185"/>
    <d v="1899-12-30T03:05:00"/>
    <b v="0"/>
    <s v="https://i.ytimg.com/vi_webp/Qh8QwVYOSVU/maxresdefault.webp"/>
    <x v="14"/>
    <s v="Teddy Swims"/>
    <s v="https://www.youtube.com/channel/UCb-ikMqe9iS8GjG7WgGwCrQ"/>
    <n v="6070000"/>
  </r>
  <r>
    <s v="JENNIE, Doechii - ExtraL (Official Video)"/>
    <n v="92973980"/>
    <x v="0"/>
    <s v="JENNIE;Jennie Kim;JENNIE MV;JENNIE Solo;ZEN;Ruby;JENNIE Ruby;Mantra;JENNIE Album;JENNIE New Music;JENNIE New Song;This That Pretty Girl Mantra;JENNIE Mantra;JENNIE from BLACKPINK;BLACKPINK;BLACKPINK JENNIE;Dance;Fashion;KPop;BLINKs;OddAtelier;Odd Atelier;Love Hangover;Love Hangover Lyrics;JENNIE Lyrics;JENNIE Doechii;JENNIE ExtraL;JENNIE XL;Doechii XL;Do My Ladies Run This;Cole Bennet;Lyrical Lemonade;JENNIE Rap;JENNIE Rapping"/>
    <n v="221"/>
    <d v="1899-12-30T03:41:00"/>
    <b v="0"/>
    <s v="https://i.ytimg.com/vi/eWAdpUyzCkI/maxresdefault.jpg"/>
    <x v="15"/>
    <s v="JENNIE"/>
    <s v="https://www.youtube.com/channel/UCN9_L9lA9kqJbGANLRus_1A"/>
    <n v="16100000"/>
  </r>
  <r>
    <s v="Sabrina Carpenter - Please Please Please"/>
    <n v="253618903"/>
    <x v="0"/>
    <s v="Sabrina Carpenter;Island Records;Pop"/>
    <n v="263"/>
    <d v="1899-12-30T04:23:00"/>
    <b v="0"/>
    <s v="https://i.ytimg.com/vi/cF1Na4AIecM/maxresdefault.jpg"/>
    <x v="4"/>
    <s v="Sabrina Carpenter"/>
    <s v="https://www.youtube.com/channel/UC4mYKePIas5YgGfYZ2J2OxQ"/>
    <n v="12300000"/>
  </r>
  <r>
    <s v="JWAVY - SUNSET (FEAT. MARIBASED1) [MUSIC VIDEO]"/>
    <n v="7805"/>
    <x v="0"/>
    <s v="Seattle music;Hiphop;rap;underground scene;independent artist;music;sunset;summertime;sun;Jwavy;maribased1;Seattle music is real;food;animals;cheep;music video;podcast;tv;west coast;east coast;northwest;dirty south;sports;travel;Facebook;TikTok;YouTube;reels;shorts;shortz;fights;shooting;march;cat;dog;animation;animated;amine;anime;power rangers;PokÃ©mon"/>
    <n v="191"/>
    <d v="1899-12-30T03:11:00"/>
    <b v="0"/>
    <s v="https://i.ytimg.com/vi/LfQAyH-ISnU/sddefault.jpg?sqp=-oaymwEmCIAFEOAD8quKqQMa8AEB-AH-CYAC0AWKAgwIABABGH8gXCgmMA8=&amp;rs=AOn4CLCGimp6iXs0M7lxfCxONbfPNK14Cw"/>
    <x v="16"/>
    <s v="S.M.I.R Seattle Music Is Real"/>
    <s v="https://www.youtube.com/channel/UCPBBdCqnlw2C0iCZfu5gbIw"/>
    <n v="14800"/>
  </r>
  <r>
    <s v="Tommy Richman - MILLION DOLLAR BABY (Official Lyric Video) SHOT BY BELVEDERE"/>
    <n v="45822601"/>
    <x v="0"/>
    <m/>
    <n v="156"/>
    <d v="1899-12-30T02:36:00"/>
    <b v="0"/>
    <s v="https://i.ytimg.com/vi_webp/bUX8MDNQda4/maxresdefault.webp"/>
    <x v="17"/>
    <s v="Tommy Richman"/>
    <s v="https://www.youtube.com/channel/UC7eumlwt8zpmN5ECgjlJS4A"/>
    <n v="655000"/>
  </r>
  <r>
    <s v="Sabrina Carpenter - Manchild (Official Video)"/>
    <n v="80889460"/>
    <x v="0"/>
    <s v="Sabrina Carpenter;Island Records;Pop;Manchild;New Music;2025"/>
    <n v="236"/>
    <d v="1899-12-30T03:56:00"/>
    <b v="0"/>
    <s v="https://i.ytimg.com/vi/aSugSGCC12I/maxresdefault.jpg"/>
    <x v="4"/>
    <s v="Sabrina Carpenter"/>
    <s v="https://www.youtube.com/channel/UC4mYKePIas5YgGfYZ2J2OxQ"/>
    <n v="12300000"/>
  </r>
  <r>
    <s v="Doechii - Anxiety (Official Video)"/>
    <n v="51336708"/>
    <x v="0"/>
    <s v="Doechii;Top Dawg Entertainment/Capitol Records;Hip Hop"/>
    <n v="252"/>
    <d v="1899-12-30T04:12:00"/>
    <b v="0"/>
    <s v="https://i.ytimg.com/vi/riCP9x31Kuk/maxresdefault.jpg"/>
    <x v="18"/>
    <s v="Doechii"/>
    <s v="https://www.youtube.com/channel/UC9bzTEvPeXjS6uyirHHRIvw"/>
    <n v="3140000"/>
  </r>
  <r>
    <s v="Adam Port, Stryv - Move feat. Malachiii (Extended Version)"/>
    <n v="87005996"/>
    <x v="0"/>
    <m/>
    <n v="353"/>
    <d v="1899-12-30T05:53:00"/>
    <b v="0"/>
    <s v="https://i.ytimg.com/vi/95dB-ObZ7Ho/maxresdefault.jpg"/>
    <x v="19"/>
    <s v="keinemusik"/>
    <s v="https://www.youtube.com/channel/UCYzx8QoAiRb69fEgyBInAug"/>
    <n v="255000"/>
  </r>
  <r>
    <s v="Tutipsy &amp; Niickii - Afro Disco (Visualizer)"/>
    <n v="17322"/>
    <x v="0"/>
    <m/>
    <n v="154"/>
    <d v="1899-12-30T02:34:00"/>
    <b v="0"/>
    <s v="https://i.ytimg.com/vi_webp/dtJg6bjrUuo/maxresdefault.webp"/>
    <x v="20"/>
    <s v="NIICKII"/>
    <s v="https://www.youtube.com/channel/UChcyluLsfj0geOTyuFbakEg"/>
    <n v="47"/>
  </r>
  <r>
    <s v="Billie Eilish - CHIHIRO (Official Music Video)"/>
    <n v="148501523"/>
    <x v="0"/>
    <s v="Billie Eilish;Darkroom/Interscope Records;Alternative"/>
    <n v="324"/>
    <d v="1899-12-30T05:24:00"/>
    <b v="0"/>
    <s v="https://i.ytimg.com/vi/BY_XwvKogC8/maxresdefault.jpg"/>
    <x v="3"/>
    <s v="Billie Eilish"/>
    <s v="https://www.youtube.com/channel/UCDGmojLIoWpXok597xYo8cg"/>
    <n v="56800000"/>
  </r>
  <r>
    <s v="Sabrina Carpenter - Taste (Official Video)"/>
    <n v="210275500"/>
    <x v="0"/>
    <s v="Sabrina Carpenter;Island Records;Pop"/>
    <n v="198"/>
    <d v="1899-12-30T03:18:00"/>
    <b v="0"/>
    <s v="https://i.ytimg.com/vi/KEG7b851Ric/maxresdefault.jpg"/>
    <x v="4"/>
    <s v="Sabrina Carpenter"/>
    <s v="https://www.youtube.com/channel/UC4mYKePIas5YgGfYZ2J2OxQ"/>
    <n v="12300000"/>
  </r>
  <r>
    <s v="Post Malone - I Had Some Help (feat. Morgan Wallen) (Official Video)"/>
    <n v="209840684"/>
    <x v="0"/>
    <s v="Post Malone;Morgan Wallen;Country;post malone morgan wallen;post malone had some help;had some help;had some help post malone;had some help morgan wallen;morgan wallen post malone;morgan wallen had some help;post malone morgan wallen had some help"/>
    <n v="201"/>
    <d v="1899-12-30T03:21:00"/>
    <b v="0"/>
    <s v="https://i.ytimg.com/vi/4QIZE708gJ4/maxresdefault.jpg"/>
    <x v="21"/>
    <s v="Post Malone"/>
    <s v="https://www.youtube.com/channel/UCOhtMAg7xh8wv_wUHMgFc-Q"/>
    <n v="28400000"/>
  </r>
  <r>
    <s v="Gracie Abrams - That's So True (Official Lyric Video)"/>
    <n v="28007213"/>
    <x v="0"/>
    <s v="Gracie Abrams;under exclusive license to Interscope Records;Pop"/>
    <n v="166"/>
    <d v="1899-12-30T02:46:00"/>
    <b v="0"/>
    <s v="https://i.ytimg.com/vi/BDHM8cyJQa8/maxresdefault.jpg"/>
    <x v="22"/>
    <s v="Gracie Abrams"/>
    <s v="https://www.youtube.com/channel/UCVFRVXH1hRoWkmpKCRmLMiQ"/>
    <n v="1770000"/>
  </r>
  <r>
    <s v="NIGHT SKIES (Official Music Video)"/>
    <n v="6605"/>
    <x v="0"/>
    <m/>
    <n v="137"/>
    <d v="1899-12-30T02:17:00"/>
    <b v="0"/>
    <s v="https://i.ytimg.com/vi/c4Zxc2gqfo8/sddefault.jpg"/>
    <x v="23"/>
    <s v="Chxnny"/>
    <s v="https://www.youtube.com/channel/UCcA274LONuELr75YPaWi1-g"/>
    <n v="3630"/>
  </r>
  <r>
    <s v="SEVDALIZA - ALIBI FT. PABLLO VITTAR &amp; YSEULT (OFFICIAL MUSIC VIDEO)"/>
    <n v="236500879"/>
    <x v="0"/>
    <m/>
    <n v="193"/>
    <d v="1899-12-30T03:13:00"/>
    <b v="0"/>
    <s v="https://i.ytimg.com/vi_webp/qVqFuokjRMc/maxresdefault.webp"/>
    <x v="24"/>
    <s v="Sevdaliza"/>
    <s v="https://www.youtube.com/channel/UCONnf7g7QfOqzM3etLECtUA"/>
    <n v="1230000"/>
  </r>
  <r>
    <s v="Myles Smith - Stargazing (Take My Heart Donâ€™t Break It) - Visualiser"/>
    <n v="36173120"/>
    <x v="0"/>
    <s v="myles smith music;miles smith music;myles smith new song;miles smith new song;miles smith acoustic ep;myles smith acoustic ep;myles smith new music;miles smith new music;new acoustic music;myles smith;miles smith;myles smith stargazing;miles smith stargazing;myles smith stargazing video;miles smith stargazing video;myles smith star gazing video;miles smith star gazing video;myles smith star gazing;miles smith star gazing;stargazing video;stargazing"/>
    <n v="174"/>
    <d v="1899-12-30T02:54:00"/>
    <b v="0"/>
    <s v="https://i.ytimg.com/vi_webp/9p9EauIOPm8/maxresdefault.webp"/>
    <x v="25"/>
    <s v="Myles Smith"/>
    <s v="https://www.youtube.com/channel/UCZfbjzBfq81Dt1Fvrnbsj5w"/>
    <n v="391000"/>
  </r>
  <r>
    <s v="ROSE - number one girl (official music video)"/>
    <n v="119135427"/>
    <x v="0"/>
    <s v="YG Entertainment;YG;K-pop;BLACKPINK;Rosa;BLINK;rosa;number one girl rose;rose number one girl;rosie;rosie number one girl;number one girl rosie;number one girl music video;rosie number one girl music video;rose number one girl music video;rosÃ© number one girl;number one girl rosÃ©;number one girl;number one girl video;rose album;rosie album;rosÃ© album"/>
    <n v="218"/>
    <d v="1899-12-30T03:38:00"/>
    <b v="0"/>
    <s v="https://i.ytimg.com/vi_webp/pZ1NdE69VTs/maxresdefault.webp"/>
    <x v="0"/>
    <s v="ROSA"/>
    <s v="https://www.youtube.com/channel/UCBo1hnzxV9rz3WVsv__Rn1g"/>
    <n v="19200000"/>
  </r>
  <r>
    <s v="squabble up"/>
    <n v="70965585"/>
    <x v="1"/>
    <m/>
    <n v="166"/>
    <d v="1899-12-30T02:46:00"/>
    <b v="0"/>
    <s v="https://i.ytimg.com/vi_webp/fuV4yQWdn_4/maxresdefault.webp"/>
    <x v="9"/>
    <s v="Kendrick Lamar"/>
    <s v="https://www.youtube.com/channel/UC3lBXcrKFnFAFkfVk5WuKcQ"/>
    <n v="19700000"/>
  </r>
  <r>
    <s v="ROLE MODEL - Sally, When The Wine Runs Out (Official Music Video)"/>
    <n v="7550110"/>
    <x v="0"/>
    <s v="ROLE MODEL;Sally When The Wine Runs Out;ROLE MODEL Sally;Sally When The Wine Runs Out lyrics;ROLE MODEL new song;ROLE MODEL music video;ROLE MODEL official;ROLE MODEL Sally lyrics;Sally When The Wine Runs Out song;ROLE MODEL indie pop;ROLE MODEL songs;ROLE MODEL music;Sally When The Wine Runs Out audio;Sally When The Wine Runs Out official;ROLE MODEL Sally official;ROLE MODEL pop;Sally When The Wine Runs Out ROLE MODEL;ROLE MODEL track"/>
    <n v="222"/>
    <d v="1899-12-30T03:42:00"/>
    <b v="0"/>
    <s v="https://i.ytimg.com/vi/F1oKhsy8wGw/maxresdefault.jpg"/>
    <x v="26"/>
    <s v="ROLE MODEL"/>
    <s v="https://www.youtube.com/channel/UC09LoQMXJ0hwdTkJwQLGW7Q"/>
    <n v="360000"/>
  </r>
  <r>
    <s v="ROSE - toxic till the end (OFFICIAL MUSIC VIDEO)"/>
    <n v="112391296"/>
    <x v="0"/>
    <s v="YG Entertainment;YG;K-pop;BLACKPINK;Rosa;BLINK;rosa;number one girl rose;rose number one girl;rosie;rosie number one girl;number one girl rosie;number one girl music video;rosie number one girl music video;rose number one girl music video;rosÃ© number one girl;number one girl rosÃ©;number one girl;number one girl video;rose album;rosie album;rosÃ© album"/>
    <n v="234"/>
    <d v="1899-12-30T03:54:00"/>
    <b v="0"/>
    <s v="https://i.ytimg.com/vi/eA0lHNZ1KCA/maxresdefault.jpg"/>
    <x v="0"/>
    <s v="ROSA"/>
    <s v="https://www.youtube.com/channel/UCBo1hnzxV9rz3WVsv__Rn1g"/>
    <n v="19200000"/>
  </r>
  <r>
    <s v="Chappell Roan - Good Luck, Babe! (Official Lyric Video)"/>
    <n v="118077070"/>
    <x v="0"/>
    <s v="Chappell Roan;Chappell Roan PS/ Island;Pop"/>
    <n v="218"/>
    <d v="1899-12-30T03:38:00"/>
    <b v="0"/>
    <s v="https://i.ytimg.com/vi/1RKqOmSkGgM/maxresdefault.jpg"/>
    <x v="27"/>
    <s v="Chappell Roan"/>
    <s v="https://www.youtube.com/channel/UCBoNpX06hjs3_ASFftQEmww"/>
    <n v="2250000"/>
  </r>
  <r>
    <s v="LISA - NEW WOMAN feat. Rosala (Official Music Video)"/>
    <n v="174553002"/>
    <x v="0"/>
    <s v="Blackpink;Lisa;Music;K-Pop;kpop;LLoud;lalisa;lily;lillies;blink;blinks;pop;pop music;lloud lisa;rockstar;money;latin music;rosalia;new woman;lisa and rosalia;Lisa y Rosal­a;Nueva Mujer;Musica Latina;Dinero; Pop;Lirios;Lirio;ë¦´ë¦¬ë“¤"/>
    <n v="191"/>
    <d v="1899-12-30T03:11:00"/>
    <b v="0"/>
    <s v="https://i.ytimg.com/vi_webp/UxXY_hR_wzo/maxresdefault.webp"/>
    <x v="11"/>
    <s v="LLOUD Official"/>
    <s v="https://www.youtube.com/channel/UC6-BgjsBa5R3PZQ_kZ8hKPg"/>
    <n v="8080000"/>
  </r>
  <r>
    <s v="Ed Sheeran - Azizam (Official Music Video)"/>
    <n v="34415168"/>
    <x v="0"/>
    <s v="edsheeran;ed sheeran;official;official video;lyrics;azizam;azizam ed sheeran;new ed sheeran song;ed sheeran azizam;play;ed sheeran play;ed sheeran new music;meet me on the floor tonight;azizam song;azizam single;azizam my love;azizam new song;azizam out now;azizam music video;music video;azizam official video;azizam persian video;azizam persian music video;ed sheeran persian wedding;persian wedding;farsi;ed sheeran farsi;ed sheeran music video"/>
    <n v="207"/>
    <d v="1899-12-30T03:27:00"/>
    <b v="0"/>
    <s v="https://i.ytimg.com/vi_webp/MI9ZpIKgyf0/maxresdefault.webp"/>
    <x v="5"/>
    <s v="Ed Sheeran"/>
    <s v="https://www.youtube.com/channel/UC0C-w0YjGpqDXGB8IHb662A"/>
    <n v="58500000"/>
  </r>
  <r>
    <s v="PJ - The Real Thing"/>
    <n v="17943"/>
    <x v="0"/>
    <s v="pj;pj music;pj singer;pj songwriter;justpeej;peej;paris jones;paris jones singer;WaitingForParisPJ;ParisJonesPJ"/>
    <n v="239"/>
    <d v="1899-12-30T03:59:00"/>
    <b v="0"/>
    <s v="https://i.ytimg.com/vi/e2QaeKp8Lqo/sddefault.jpg?sqp=-oaymwEmCIAFEOAD8quKqQMa8AEB-AH-CYAC0AWKAgwIABABGGUgZShlMA8=&amp;rs=AOn4CLAZAYXfcq94DYSOs9KOHiVQkXc62Q"/>
    <x v="28"/>
    <s v="PJ"/>
    <s v="https://www.youtube.com/channel/UCjjl1CZ1tflymx1cWnBJ8oQ"/>
    <n v="32000"/>
  </r>
  <r>
    <s v="sombr - back to friends (official video)"/>
    <n v="47392334"/>
    <x v="0"/>
    <s v="sombr;weak;caroline;willow;luke hemmings;nessa barrett;back to friends;can we go back to friends;do i ever cross your mind;makes me want you;alt;timothee chalamet;indie;moody;sombr music video;back to friends music video;back to friends official music video"/>
    <n v="202"/>
    <d v="1899-12-30T03:22:00"/>
    <b v="0"/>
    <s v="https://i.ytimg.com/vi_webp/c8zq4kAn_O0/maxresdefault.webp"/>
    <x v="29"/>
    <s v="sombr"/>
    <s v="https://www.youtube.com/channel/UCXlqFQmZZOb78teSnAqhuwA"/>
    <n v="616000"/>
  </r>
  <r>
    <s v="Jackson Wang - Made Me a Man (Official Music Video)"/>
    <n v="40129974"/>
    <x v="0"/>
    <s v="jackson wang;team wang;88rising;got7;mirrors;magic man;magicman2"/>
    <n v="235"/>
    <d v="1899-12-30T03:55:00"/>
    <b v="0"/>
    <s v="https://i.ytimg.com/vi/vz-_ZtUh8P4/maxresdefault.jpg"/>
    <x v="30"/>
    <s v="Jackson Wang"/>
    <s v="https://www.youtube.com/channel/UCJS0K01yC8BmQtSuRdqqo3w"/>
    <n v="5350000"/>
  </r>
  <r>
    <s v="David Guetta &amp; Sia - Beautiful People (Official Video)"/>
    <n v="41075369"/>
    <x v="0"/>
    <m/>
    <n v="204"/>
    <d v="1899-12-30T03:24:00"/>
    <b v="0"/>
    <s v="https://i.ytimg.com/vi/S2fSojJqyNY/maxresdefault.jpg"/>
    <x v="31"/>
    <s v="David Guetta"/>
    <s v="https://www.youtube.com/channel/UC1l7wYrva1qCH-wgqcHaaRg"/>
    <n v="27600000"/>
  </r>
  <r>
    <s v="The Weeknd - So Paulo (Official Music Video)"/>
    <n v="48615120"/>
    <x v="0"/>
    <s v="The Weeknd;Anitta;XO Republic Records;so paulo the weeknd;anitta the weeknd;so paulo;anitta sao paulo;the weeknd so paulo;anitta the weekend traduo;sÃ£o paulo anitta the weeknd;anitta gravida;anitta so paulo;anitta grÃ¡vida"/>
    <n v="209"/>
    <d v="1899-12-30T03:29:00"/>
    <b v="0"/>
    <s v="https://i.ytimg.com/vi/2kjolTLZ_Mg/maxresdefault.jpg"/>
    <x v="32"/>
    <s v="The Weeknd"/>
    <s v="https://www.youtube.com/channel/UCF_fDSgPpBQuh1MsUTgIARQ"/>
    <n v="38700000"/>
  </r>
  <r>
    <s v="RAAHiiM feat. BEAM - WiiCKEDEST (Official Visualizer)"/>
    <n v="188724"/>
    <x v="0"/>
    <m/>
    <n v="220"/>
    <d v="1899-12-30T03:40:00"/>
    <b v="0"/>
    <s v="https://i.ytimg.com/vi/tYo5aRDtjDs/maxresdefault.jpg"/>
    <x v="33"/>
    <s v="RAAHiiM"/>
    <s v="https://www.youtube.com/channel/UCWhdB4GqozqTpluGfZgZ_qQ"/>
    <n v="16100"/>
  </r>
  <r>
    <s v="David Guetta &amp; OneRepublic - I Don't Wanna Wait (Official Video)"/>
    <n v="108529744"/>
    <x v="0"/>
    <s v="david guetta;one republic;ryan tedder;i dont wanna wait;david guetta songs;i dont wanna wait onerepublic;david guetta i dont wanna wait;ultra miami 2024;david guetta one republic;david guetta one republic i dont wanna wait;i dont wanna wait david guetta;david guetta live;umf 2024;i dont wanna wait by onerepublic;i dont wanna wait lyrics;i dont wanna wait live;i dont wanna wait ryan tedder;ultra music festival 2024 miami;David guetta 2024;David Guetta remix"/>
    <n v="155"/>
    <d v="1899-12-30T02:35:00"/>
    <b v="0"/>
    <s v="https://i.ytimg.com/vi_webp/dSDbwfXX5_I/maxresdefault.webp"/>
    <x v="31"/>
    <s v="David Guetta"/>
    <s v="https://www.youtube.com/channel/UC1l7wYrva1qCH-wgqcHaaRg"/>
    <n v="27600000"/>
  </r>
  <r>
    <s v="Drake - NOKIA (Official Music Video)"/>
    <n v="39114736"/>
    <x v="0"/>
    <s v="Drake;OVO Sound;Hip-Hop"/>
    <n v="265"/>
    <d v="1899-12-30T04:25:00"/>
    <b v="0"/>
    <s v="https://i.ytimg.com/vi/8ekJMC8OtGU/maxresdefault.jpg"/>
    <x v="34"/>
    <s v="Drake"/>
    <s v="https://www.youtube.com/channel/UCQznUf1SjfDqx65hX3zRDiA"/>
    <n v="31500000"/>
  </r>
  <r>
    <s v="The Weeknd - Cry For Me (Official Music Video)"/>
    <n v="40322577"/>
    <x v="0"/>
    <s v="The Weeknd;XO Republic Records"/>
    <n v="245"/>
    <d v="1899-12-30T04:05:00"/>
    <b v="0"/>
    <s v="https://i.ytimg.com/vi/bn8gP5N8hqM/maxresdefault.jpg"/>
    <x v="32"/>
    <s v="The Weeknd"/>
    <s v="https://www.youtube.com/channel/UCF_fDSgPpBQuh1MsUTgIARQ"/>
    <n v="38700000"/>
  </r>
  <r>
    <s v="Tate McRae - Sports car (Official Video)"/>
    <n v="34091789"/>
    <x v="0"/>
    <s v="Sports car;Tate McRae;tate mcrae so close to what;tate mcrae sports car;tate mcrae kid laroi;tate mcrae hands;tate mcrae it's ok iam ok;tate mcrae you broke me first;dont want him anyway girl take him;tate mcrae greedy;would want myself;tate mcrae think later;just want your two hands on me at all times baby;miss possessive world tour;new tate mcrae music;tate mcrae 2025"/>
    <n v="188"/>
    <d v="1899-12-30T03:08:00"/>
    <b v="0"/>
    <s v="https://i.ytimg.com/vi/7InTkBxPtK4/maxresdefault.jpg"/>
    <x v="35"/>
    <s v="Tate McRae"/>
    <s v="https://www.youtube.com/channel/UC-yW8iz7ICKv_bhuxLtcJaw"/>
    <n v="6320000"/>
  </r>
  <r>
    <s v="GIVAON - RATHER BE (Official Music Video)"/>
    <n v="3794711"/>
    <x v="0"/>
    <s v="giveon;like want you;new artist;epic;epic records;alicia fields;garden kisses;california;long beach;tempest;like want you video;giveon video;official music video;take time;new album;new music;r&amp;b;stuck on you;when it's all said and done;giveon lie again;lie again giveon;lie again;Heartbreak anniversary;Heartbreak anniversary giveon;Heartbreak giveon;Giveon heartbreak anniversary;Giveon lyrics;Justin Bieber;Drake;Justin Bieber giveon"/>
    <n v="191"/>
    <d v="1899-12-30T03:11:00"/>
    <b v="0"/>
    <s v="https://i.ytimg.com/vi/Yd1smtHpxaY/maxresdefault.jpg"/>
    <x v="36"/>
    <s v="GIVAON"/>
    <s v="https://www.youtube.com/channel/UCa3ZoB87QoSaLM0qODmrMfA"/>
    <n v="3330000"/>
  </r>
  <r>
    <s v="Benson Boone - Slow It Down (Official Music Video)"/>
    <n v="85513596"/>
    <x v="0"/>
    <s v="Benson Boone;Slow It Down Official Music Video;Benson Boone Slow It Down;Benson Boone Slow It Down Official Music Video;Benson Boone lyrics;Slow It Down lyrics;Benson Boone Slow It Down lyrics;Fireworks &amp; Rollerblades;Benson Boone Album;Album Benson Boone;Benson Boone Fireworks &amp; Rollerblades;Fireworks &amp; Rollerblades Benson Boone;Beautiful Things;slow it down;benson boone new song;slow it down benson boone;benson boone new music;new song;beautiful things"/>
    <n v="184"/>
    <d v="1899-12-30T03:04:00"/>
    <b v="0"/>
    <s v="https://i.ytimg.com/vi_webp/f4Y3b7un4LE/maxresdefault.webp"/>
    <x v="37"/>
    <s v="Benson Boone"/>
    <s v="https://www.youtube.com/channel/UCvILah8hAWYhYOmAG3ZjvBA"/>
    <n v="5360000"/>
  </r>
  <r>
    <s v="Tate McRae - Just Keep Watching (From F1Â® The Movie) (Official Video)"/>
    <n v="36141339"/>
    <x v="0"/>
    <s v="tate mcrea;tate mcrae young;Create with Tate;tate mcrae;tatemcrea;i wrote a song;singing;singer;original song;top originals 2018;best songs of 2018;songwriter;hot vocals;songwriting;best youtube songs 2018;best songs;the ellen show;best originals;shawn mendes;ariana grande;new music 2018;best songs of the week;top songs of 2018;new songs of 2018;songs of the week;top 10 songs of the week;charlie puth;new songs may 2018;sean lew;june 2018"/>
    <n v="147"/>
    <d v="1899-12-30T02:27:00"/>
    <b v="0"/>
    <s v="https://i.ytimg.com/vi/dpvQqmX6SUI/maxresdefault.jpg"/>
    <x v="35"/>
    <s v="Tate McRae"/>
    <s v="https://www.youtube.com/channel/UCQh6LB206jF3JxpCDD-fp5Q"/>
    <n v="6320000"/>
  </r>
  <r>
    <s v="Charli xcx - Guess featuring billie eilish (official video)"/>
    <n v="79002814"/>
    <x v="0"/>
    <s v="charli xcx;billie eilish;guess featuring billie eilish;guess feat. billie eilish;guess ft. billie eilish;charli xcx guess ft. billie eilish;charli ft. billie eilish;charli xcx ft. billie eilish;charli xcx guess featuring billie eilish;charli xcx guess;guess charli xcx;billie eilish guess;guess billie eilish;charli xcx billie eilish;billie eilish charli xcx;charli xcx - guess featuring billie eilish;guess featuring billie eilish - charli xcx;guess music video"/>
    <n v="161"/>
    <d v="1899-12-30T02:41:00"/>
    <b v="0"/>
    <s v="https://i.ytimg.com/vi_webp/huGd4efgdPA/maxresdefault.webp"/>
    <x v="38"/>
    <s v="Charli xcx"/>
    <s v="https://www.youtube.com/channel/UCOvEMf00DnwdkpOCRWdc6uA"/>
    <n v="3900000"/>
  </r>
  <r>
    <s v="Alex Warren - Carry You Home (Official Video)"/>
    <n v="52725607"/>
    <x v="1"/>
    <s v="alex warren;alex waarren;alex and kouvr;alex and kouvr proposal;alex and kouvr wedding;alex and kouvr married;tik tok music;tik tok viral;viral music;hits;pop hits"/>
    <n v="188"/>
    <d v="1899-12-30T03:08:00"/>
    <b v="0"/>
    <s v="https://i.ytimg.com/vi/d4iGZ_jP-1U/maxresdefault.jpg"/>
    <x v="8"/>
    <s v="Alex Warren"/>
    <s v="https://www.youtube.com/channel/UCX2Pm1JoWF3chsVOR9e1hbQ"/>
    <n v="4050000"/>
  </r>
  <r>
    <s v="Roy Woods - You (Official Music Video)"/>
    <n v="125528"/>
    <x v="0"/>
    <s v="roy woods;roy;woods;ovo sound;ovo;october's very own;drama;down girl;drake;majid jordan;dvsn;plaza;baka not nice;jealousy;toronto;worth it;rnb;r&amp;b;hip hop;rap;Dark Nights;You"/>
    <n v="182"/>
    <d v="1899-12-30T03:02:00"/>
    <b v="0"/>
    <s v="https://i.ytimg.com/vi/gbyvssp6vHQ/sddefault.jpg?v=6835c5db"/>
    <x v="39"/>
    <s v="Roy Woods"/>
    <s v="https://www.youtube.com/channel/UCN_uuL0yjn9H5fnFqpo2S1w"/>
    <n v="297000"/>
  </r>
  <r>
    <s v="Maroon 5 - Priceless ft. LISA (Official Video)"/>
    <n v="29890943"/>
    <x v="0"/>
    <s v="Maroon;LISA;222 Records/Interscope Records;Pop;priceless;new music;2025;Baby;you're priceless;anything like this;all wanna do"/>
    <n v="171"/>
    <d v="1899-12-30T02:51:00"/>
    <b v="0"/>
    <s v="https://i.ytimg.com/vi/vaGf8fmtBr4/maxresdefault.jpg"/>
    <x v="40"/>
    <s v="Maroon 5"/>
    <s v="https://www.youtube.com/channel/UCN1hnUccO4FD5WfM7ithXaw"/>
    <n v="37800000"/>
  </r>
  <r>
    <s v="Dean Lewis - With You (Official Video)"/>
    <n v="30313088"/>
    <x v="0"/>
    <s v="Dean Lewis;Universal Music Australia Pty. Ltd.;Pop"/>
    <n v="194"/>
    <d v="1899-12-30T03:14:00"/>
    <b v="0"/>
    <s v="https://i.ytimg.com/vi/GurljGjfrVs/maxresdefault.jpg"/>
    <x v="41"/>
    <s v="Dean Lewis"/>
    <s v="https://www.youtube.com/channel/UCCsEkPFtMYnfQoTenSsur-w"/>
    <n v="2680000"/>
  </r>
  <r>
    <s v="Benson Boone - Mystical Magical (Official Lyric Video)"/>
    <n v="30192542"/>
    <x v="0"/>
    <s v="Benson Boone;Benson Boone lyrics;Benson Boone Album;Beautiful Things;benson boone new song;benson boone new music;Benson Boone New Music;benson boone lyrics;beautiful things;benson boone beautiful things;benson boones lyrics;benson boone coachella;benson boone mystical magical;mystical magical;mystical magical lyrics;benson boone mystical magical lyrics;mystical magical lyric video;benson boone mystical;benson boone new coachella song"/>
    <n v="166"/>
    <d v="1899-12-30T02:46:00"/>
    <b v="0"/>
    <s v="https://i.ytimg.com/vi_webp/U8QhB8_0t2g/maxresdefault.webp"/>
    <x v="37"/>
    <s v="Benson Boone"/>
    <s v="https://www.youtube.com/channel/UCvILah8hAWYhYOmAG3ZjvBA"/>
    <n v="5360000"/>
  </r>
  <r>
    <s v="Tate McRae - Revolving door (Official Video)"/>
    <n v="30012095"/>
    <x v="0"/>
    <s v="Sports car;tate mcrae sports car;tate mcrae kid laroi;tate mcrae hands;tate mcrae itâ€™s ok iâ€™m ok;tate mcrae you broke me first;dont want him anyway girl take him;tate mcrae greedy;would want myself;tate mcrae think later;miss possessive world tour;new tate mcrae music;tate mcrae 2025;revolving door;tate mcrae new album;so close to what tate mcrae;tayte mcray new album;revolving door official video;tate mcrae new video;2025 tate mcrae music"/>
    <n v="235"/>
    <d v="1899-12-30T03:55:00"/>
    <b v="0"/>
    <s v="https://i.ytimg.com/vi/rwlFWWGaZ5Y/maxresdefault.jpg"/>
    <x v="35"/>
    <s v="Tate McRae"/>
    <s v="https://www.youtube.com/channel/UC-yW8iz7ICKv_bhuxLtcJaw"/>
    <n v="6320000"/>
  </r>
  <r>
    <s v="Taylor Swift - Fortnight (feat. Post Malone) (Official Music Video)"/>
    <n v="158325692"/>
    <x v="0"/>
    <s v="Taylor swift;taylor;swift;taylor swift ttpd;tortured poets department;new taylor swift;taylor swift album;ttpd anthology;taylor swift fortnight;fortnite taylor swift;taylor swift;taylor swift fortnight music video;taylor swift fortnight postmalone;fortnight taylor swift post malone;fortnight taylor swift music video;fortnite music video;fortnite taylor swift post malone;taylor swift for a fortnight;taylor swift the tortured poets department;taylor fortnight"/>
    <n v="249"/>
    <d v="1899-12-30T04:09:00"/>
    <b v="0"/>
    <s v="https://i.ytimg.com/vi/q3zqJs7JUCQ/maxresdefault.jpg"/>
    <x v="42"/>
    <s v="Taylor Swift"/>
    <s v="https://www.youtube.com/channel/UCqECaJ8Gagnn7YCbPEzWH6g"/>
    <n v="61500000"/>
  </r>
  <r>
    <s v="Vex Prince - MONEY feat Dorty (Official Music Video)"/>
    <n v="899024"/>
    <x v="0"/>
    <s v="vexprincemoney;vexprincerwanda;vex;dortylattecha;vexprincedorty"/>
    <n v="158"/>
    <d v="1899-12-30T02:38:00"/>
    <b v="0"/>
    <s v="https://i.ytimg.com/vi/NArjrbHye2U/maxresdefault.jpg"/>
    <x v="43"/>
    <s v="Vex Prince"/>
    <s v="https://www.youtube.com/channel/UCUOJHORC9aycl9Tb2O4EKag"/>
    <n v="6100"/>
  </r>
  <r>
    <s v="d4vd - Feel It (Official Music Video)"/>
    <n v="37464367"/>
    <x v="0"/>
    <s v="d4vd;Feel;Darkroom/Interscope;Records;Alternative"/>
    <n v="154"/>
    <d v="1899-12-30T02:34:00"/>
    <b v="0"/>
    <s v="https://i.ytimg.com/vi/vZi8ET9k11g/maxresdefault.jpg"/>
    <x v="44"/>
    <s v="d4vd"/>
    <s v="https://www.youtube.com/channel/UCSQ-IY_3aVGlPQp_QJl3-Yg"/>
    <n v="2220000"/>
  </r>
  <r>
    <s v="Damiano David - Born With a Broken Heart (Official Video)"/>
    <n v="38500113"/>
    <x v="0"/>
    <s v="Born With Broken Heart;Damiano David"/>
    <n v="253"/>
    <d v="1899-12-30T04:13:00"/>
    <b v="0"/>
    <s v="https://i.ytimg.com/vi/Z4-g8UXa944/maxresdefault.jpg"/>
    <x v="45"/>
    <s v="Damiano David"/>
    <s v="https://www.youtube.com/channel/UCcEJwxURVimfFFhBFSfgpQw"/>
    <n v="514000"/>
  </r>
  <r>
    <s v="Nelly Wap &quot;Up Next&quot; (Off The Porch Live Performance)"/>
    <n v="4637"/>
    <x v="0"/>
    <s v="dirtyglovebastard;dirty glove bastard;dgb;dgb off the porch;dirty glove bastard off the porch;off the porch;live performance;Nelly Wap;Nelly Wap UpNext;Nelly Wap live performance;Nelly Wap off the porch;Nelly Wap off the porch live performance;Nelly Wap dirty glove bastard;off the porch live performance;dirty glove bastard live performance;DGB live performance"/>
    <n v="175"/>
    <d v="1899-12-30T02:55:00"/>
    <b v="0"/>
    <s v="https://i.ytimg.com/vi/LAhwxJKLw-I/maxresdefault.jpg"/>
    <x v="46"/>
    <s v="DGB Media"/>
    <s v="https://www.youtube.com/channel/UC8kf66DpkoHiPlpylPuXMqw"/>
    <n v="605000"/>
  </r>
  <r>
    <s v="JENNIE &amp; Dua Lipa - Handlebars (Official Video)"/>
    <n v="33919328"/>
    <x v="0"/>
    <s v="JENNIE;Jennie Kim;JENNIE MV;JENNIE Solo;ZEN;Ruby;JENNIE Ruby;Mantra;JENNIE Album;JENNIE New Music;JENNIE New Song;This That Pretty Girl Mantra;JENNIE Mantra;JENNIE from BLACKPINK;BLACKPINK;BLACKPINK JENNIE;Dance;Fashion;KPop;BLINKs;OddAtelier;Odd Atelier;Love Hangover;ExtraL;Like JENNIE;JENNIE Lyrics;JENNIE new album;Ruby Album;JENNIE Handlebars;JENNIE Dua Lipa;JENNIE Dua;Future Nostalgia;Radical Optimism;trip and fall in love"/>
    <n v="211"/>
    <d v="1899-12-30T03:31:00"/>
    <b v="0"/>
    <s v="https://i.ytimg.com/vi/seARsMwjbEU/maxresdefault.jpg"/>
    <x v="15"/>
    <s v="JENNIE"/>
    <s v="https://www.youtube.com/channel/UCN9_L9lA9kqJbGANLRus_1A"/>
    <n v="16100000"/>
  </r>
  <r>
    <s v="SHOOP - CAPRIS (Official Music Video)"/>
    <n v="37164"/>
    <x v="0"/>
    <s v="indie pop;alt pop;indie pop 2025;alternative pop;male indie artists;indie pop music video;new indie music;underrated indie artists;indie pop vibes;bedroom pop;chill indie pop;late night drive songs;summer indie vibes;feel good indie music;songs like dominic fike;songs like role model;malcolm todd music;sombr music;junior varsity band;the 1975 vibes;aesthetic indie songs;viral indie pop;indie pop rising artist;alt pop playlist"/>
    <n v="229"/>
    <d v="1899-12-30T03:49:00"/>
    <b v="0"/>
    <s v="https://i.ytimg.com/vi/qtd280iQmNo/maxresdefault.jpg"/>
    <x v="47"/>
    <s v="SHOOP"/>
    <s v="https://www.youtube.com/channel/UCWT8LeR0mwoqoDbKeMmgxyQ"/>
    <n v="43"/>
  </r>
  <r>
    <s v="Miley Cyrus - End of the World (Official Video)"/>
    <n v="29225841"/>
    <x v="0"/>
    <s v="Miley;Something Beautiful;Miley Something Beautiful;New Miley;Miley Cyrus Album;Something Beautiful Album;Miley Trailer;Miley Visuals;Miley Film;Miley Music Video;Used To Be Young;Endless Summer Vacation;Flowers;can buy myself flowers;River;Jaded;Plastic Hearts;She Is Coming;Younger Now;Miley Cyrus Her Dead Petz;Bangerz;Canâ€™t Be Tamed;The Time Of Our Lives;Breakout;Meet Miley Cyrus;Hannah Montana;Wrecking Ball;We Canâ€™t Stop"/>
    <n v="252"/>
    <d v="1899-12-30T04:12:00"/>
    <b v="0"/>
    <s v="https://i.ytimg.com/vi/CXBFU97X61I/maxresdefault.jpg"/>
    <x v="48"/>
    <s v="Miley Cyrus"/>
    <s v="https://www.youtube.com/channel/UCdI8evszfZvyAl2UVCypkTA"/>
    <n v="19900000"/>
  </r>
  <r>
    <s v="Ravyn Lenae - Love Me Not (Official Music Video)"/>
    <n v="25353734"/>
    <x v="0"/>
    <s v="Ravyn Lenae;Raven Lenae;Rayvn Lenae;Ravyn Lenae Love Me Not;Love Me Not;Love Me Not Ravyn Lenae;Ravyn Lenae One Wish;Ravyn Lenae Genius;Birds Eye;Birds Eye Ravyn Lenae;Ravyn Lenae Birds Eye;Ravyn Lenae Concert;ravyn Lenae Live;Rayvn Lenae Sticky;Ravyn Lenae Skin Tight;Ravyn Lenae Moon Shoes;Ravyn Lenae AT&amp;T Block Party;Ravyn Lenae Performance;I miss you come here;Ravyn Lenae Hypnos;Ravyn Lenae Doechii;Ravyn Lenae Steve Lacy"/>
    <n v="219"/>
    <d v="1899-12-30T03:39:00"/>
    <b v="0"/>
    <s v="https://i.ytimg.com/vi/cswfR85D7jM/sddefault.jpg?v=6633f232"/>
    <x v="49"/>
    <s v="Ravyn Lenae"/>
    <s v="https://www.youtube.com/channel/UCtgNg5yxCyfjEE7Q7KeSmBw"/>
    <n v="203000"/>
  </r>
  <r>
    <s v="Tate McRae - It's ok I'm ok (Official Video)"/>
    <n v="55388007"/>
    <x v="0"/>
    <s v="New Tate McRae;you can have him anyway;he so perfect;girl what version;THINK LATER Tate McRae;uh oh dance tate mcrae;exes tate mcrae;it is what it is and was what it was;greedy tate mcrae;baby dont get greedy;would want myself;tubegirl;think later world tour;its ok im ok tate mcrae;tate mcrae its ok im ok official video;sean bankhead;sabrina carpenter;chappell roan;olivia rodrigo;gracie abrams;tate mcrae new music 2024;tate mcrae dancing"/>
    <n v="182"/>
    <d v="1899-12-30T03:02:00"/>
    <b v="0"/>
    <s v="https://i.ytimg.com/vi/Bpaf6Dm9iRc/maxresdefault.jpg"/>
    <x v="35"/>
    <s v="Tate McRae"/>
    <s v="https://www.youtube.com/channel/UC-yW8iz7ICKv_bhuxLtcJaw"/>
    <n v="6320000"/>
  </r>
  <r>
    <s v="Myles Smith - Nice To Meet You (Official Video)"/>
    <n v="32203892"/>
    <x v="0"/>
    <s v="Myles Smiht;Mylse Smith;Myels Smith;Mtles Smith;Mules Smith;Mhles Smith;Mypes Smith;Mymes Smith;Mykes Smith;Mylee Smith;Mylea Smith;Myled Smith;Mylew Smith;Myles Snith;Myles Skith;Myles Sjith;Myles Smoth;Myles Smuth;Myles Smkth;Myles Smirh;Myles Smigh;Myles Smiyh;Myles Smitn;Myles Smitt;Myles Smitg;Myles Smitb;Miles Smith;Miles Smiht;Milse Smith;Miels Smith;Moles Smith;Mkles Smith;Mipes Smith;Mimes Smith"/>
    <n v="207"/>
    <d v="1899-12-30T03:27:00"/>
    <b v="0"/>
    <s v="https://i.ytimg.com/vi/9VbDkDALT7w/maxresdefault.jpg"/>
    <x v="25"/>
    <s v="Myles Smith"/>
    <s v="https://www.youtube.com/channel/UCdE1usyA41BFzWwHbtlymrw"/>
    <n v="391000"/>
  </r>
  <r>
    <s v="Claudia Valentina - Candy (Official Video)"/>
    <n v="667846"/>
    <x v="0"/>
    <s v="Claudia Valentina;Claudia Valentina music;Claudia Valentina meovv demo;Claudia Valentina candy;Claudia Valentina lyrics;candy;Jennie mantra;girls to the yard;baddie tunes;femme fatale;my candy brings all the girls to the yard;kelis candy version;kelis milkshake;TikTok candy milkshake;seven Claudia Valentina;baddie playlist pop;meovv;drop top;quad;my milkshake brings all the boys to the yard;kelis;kelis milkshake lyrics;Pharrell williams"/>
    <n v="120"/>
    <d v="1899-12-30T02:00:00"/>
    <b v="0"/>
    <s v="https://i.ytimg.com/vi/XUd0xmK7fvY/maxresdefault.jpg"/>
    <x v="50"/>
    <s v="Claudia Valentina"/>
    <s v="https://www.youtube.com/channel/UCzcy-EepQ3Snt-twOTZ4hgg"/>
    <n v="23900"/>
  </r>
  <r>
    <s v="Lady Gaga - Disease (Official Music Video)"/>
    <n v="46125355"/>
    <x v="0"/>
    <s v="Lady Gaga;Interscope Records;Pop"/>
    <n v="261"/>
    <d v="1899-12-30T04:21:00"/>
    <b v="0"/>
    <s v="https://i.ytimg.com/vi/fmC6b6_ovZY/maxresdefault.jpg"/>
    <x v="1"/>
    <s v="Lady Gaga"/>
    <s v="https://www.youtube.com/channel/UC07Kxew-cMIaykMOkzqHtBQ"/>
    <n v="29600000"/>
  </r>
  <r>
    <s v="Tyla - PUSH 2 START (Official Music Video)"/>
    <n v="111453988"/>
    <x v="0"/>
    <s v="tyla;new artist;getting late;tyla to last;to last tyla;to last;last;kooldrink;epic;epic records;new music;fax records;electronic;electronic music;dance music;dj lag;overdue;tyla been thinking;been thinking tyla;been thinking;ayra starr;ayra starr tyla;tyla ayra starr girl next door;girl next door;tyla girl next door;ayra starr girl next door;girl next door tyla ayra starr;water;tyla water;water tyla;push start"/>
    <n v="158"/>
    <d v="1899-12-30T02:38:00"/>
    <b v="0"/>
    <s v="https://i.ytimg.com/vi/uLK2r3sG4lE/maxresdefault.jpg"/>
    <x v="51"/>
    <s v="Tyla"/>
    <s v="https://www.youtube.com/channel/UCr2xjaS7CIx1OY7hYwrXb8A"/>
    <n v="5070000"/>
  </r>
  <r>
    <s v="Coldplay - ALL MY LOVE (Official Video)"/>
    <n v="46253970"/>
    <x v="0"/>
    <m/>
    <n v="240"/>
    <d v="1899-12-30T04:00:00"/>
    <b v="0"/>
    <s v="https://i.ytimg.com/vi_webp/pSeaHfkd3M8/maxresdefault.webp"/>
    <x v="52"/>
    <s v="Coldplay"/>
    <s v="https://www.youtube.com/channel/UCDPM_n1atn2ijUwHd0NNRQw"/>
    <n v="28100000"/>
  </r>
  <r>
    <s v="JENNIE - Mantra (Official Video)"/>
    <n v="208325690"/>
    <x v="0"/>
    <s v="Jennie Kim;JENNIE MV;JENNIE Solo;ZEN;Ruby;JENNIE Album;JENNIE New Music;JENNIE New Song;This That Pretty Girl Mantra;JENNIE Mantra;JENNIE from BLACKPINK;BLACKPINK;BLACKPINK JENNIE;Dance;Fashion;KPop;BLINKs;OddAtelier;Odd Atelier;JENNIE;K-Pop;Mantra"/>
    <n v="147"/>
    <d v="1899-12-30T02:27:00"/>
    <b v="0"/>
    <s v="https://i.ytimg.com/vi/bB3-CUMERIU/maxresdefault.jpg"/>
    <x v="15"/>
    <s v="JENNIE"/>
    <s v="https://www.youtube.com/channel/UCN9_L9lA9kqJbGANLRus_1A"/>
    <n v="16100000"/>
  </r>
  <r>
    <s v="The Weeknd - Open Hearts (Official Video)"/>
    <n v="23070337"/>
    <x v="0"/>
    <s v="The Weeknd;XO Republic Records"/>
    <n v="320"/>
    <d v="1899-12-30T05:20:00"/>
    <b v="0"/>
    <s v="https://i.ytimg.com/vi/Bn-3ICGjz0U/maxresdefault.jpg"/>
    <x v="32"/>
    <s v="The Weeknd"/>
    <s v="https://www.youtube.com/channel/UCF_fDSgPpBQuh1MsUTgIARQ"/>
    <n v="38700000"/>
  </r>
  <r>
    <s v="Insane Shinobi &amp; Johnnie Noct - REVENGE (Official Music Video)"/>
    <n v="6174"/>
    <x v="0"/>
    <s v="revenge xxxtentacion;revenge;Rap;jpegmafia;jpegmafia type beat;xxxtentacion type beat;xxxtentacion songs;alternative rock;anime edits;childish gambino;music videos 2025;Music Video;music videos rap;japanese rap music;japanese rapper;kanye west;tyler the creator;nujabes;mf doom;mf doom type beat;jid;jid type beat;insane;insaneshinobi;shinobi;ninja turtles;official music video;denzel curry;denzel curry type beat;andre 3000;andre 3000 type beat;outkast"/>
    <n v="169"/>
    <d v="1899-12-30T02:49:00"/>
    <b v="0"/>
    <s v="https://i.ytimg.com/vi_webp/-o-naEnzgp4/maxresdefault.webp"/>
    <x v="53"/>
    <s v="Insane Shinobi"/>
    <s v="https://www.youtube.com/channel/UCgsFH_OLVCcqzIfR8N6Ka9Q"/>
    <n v="1200"/>
  </r>
  <r>
    <s v="Imagine Dragons - Take Me To The Beach (feat. Ado) (Official Lyric Video)"/>
    <n v="30301956"/>
    <x v="0"/>
    <s v="Imagine Dragons;Take Me To The Beach;Remix;LOOM;Ado;Japanese Artist;Rock;Alternative;Pop;J-Pop"/>
    <n v="167"/>
    <d v="1899-12-30T02:47:00"/>
    <b v="0"/>
    <s v="https://i.ytimg.com/vi/5Duje_sZko8/maxresdefault.jpg"/>
    <x v="54"/>
    <s v="ImagineDragons"/>
    <s v="https://www.youtube.com/channel/UCpx_k19S2vUutWUUM9qmXEg"/>
    <n v="32900000"/>
  </r>
  <r>
    <s v="Justin Bieber - DAISIES (Audio)"/>
    <n v="24709753"/>
    <x v="0"/>
    <s v="Justin Bieber;Justin Bieber 2021 PS/ Def Jam;Pop"/>
    <n v="176"/>
    <d v="1899-12-30T02:56:00"/>
    <b v="0"/>
    <s v="https://i.ytimg.com/vi_webp/msGuqelopMA/maxresdefault.webp"/>
    <x v="55"/>
    <s v="Justin Bieber"/>
    <s v="https://www.youtube.com/channel/UCHkj014U2CQ2Nv0UZeYpE_A"/>
    <n v="76200000"/>
  </r>
  <r>
    <s v="Sabrina Carpenter - Bed Chem (Official Lyric Video)"/>
    <n v="44470482"/>
    <x v="0"/>
    <s v="Sabrina Carpenter;Island Records;Pop"/>
    <n v="172"/>
    <d v="1899-12-30T02:52:00"/>
    <b v="0"/>
    <s v="https://i.ytimg.com/vi_webp/x8VkB8ap_FQ/maxresdefault.webp"/>
    <x v="4"/>
    <s v="Sabrina Carpenter"/>
    <s v="https://www.youtube.com/channel/UC4mYKePIas5YgGfYZ2J2OxQ"/>
    <n v="12300000"/>
  </r>
  <r>
    <s v="Dua Lipa - Illusion (Official Music Video)"/>
    <n v="80373280"/>
    <x v="0"/>
    <s v="dua lipa;dua;new rules;dua leepa;idgaf;scared to be lonely;be the one;future nostalgia;don't start now;let's get physical;break my heart;radical optimism;training season;houdini;pop;dance;music;chart music;illusion;dula peep;DL3;DL2;choreo;dua lipa dancing"/>
    <n v="187"/>
    <d v="1899-12-30T03:07:00"/>
    <b v="0"/>
    <s v="https://i.ytimg.com/vi_webp/a9cyG_yfh1k/maxresdefault.webp"/>
    <x v="56"/>
    <s v="Dua Lipa"/>
    <s v="https://www.youtube.com/channel/UC-J-KZfRV8c13fOCkhXdLiQ"/>
    <n v="24400000"/>
  </r>
  <r>
    <s v="Sabrina Carpenter - Busy Woman (Official Lyric Video)"/>
    <n v="20923612"/>
    <x v="0"/>
    <s v="Sabrina Carpenter;Island Records;Pop;busy woman;new sabrina;sabrina deluxe;espresso;please please please;taste;short;sweet;2025;new music;busy;woman;if you need my love;be my perfect mrs;coming over to your place"/>
    <n v="187"/>
    <d v="1899-12-30T03:07:00"/>
    <b v="0"/>
    <s v="https://i.ytimg.com/vi/3m6NBnqLc-g/maxresdefault.jpg"/>
    <x v="4"/>
    <s v="Sabrina Carpenter"/>
    <s v="https://www.youtube.com/channel/UC4mYKePIas5YgGfYZ2J2OxQ"/>
    <n v="12300000"/>
  </r>
  <r>
    <s v="Addison Rae - Diet Pepsi (Official Video)"/>
    <n v="35211939"/>
    <x v="0"/>
    <s v="Addison Rae New Song;Addison Rae New Music;AddisonRe;TikTok;Viral;die;Charli xcx;Brat;Music Video Pop;Addison Rae;Diet Pepsi"/>
    <n v="180"/>
    <d v="1899-12-30T03:00:00"/>
    <b v="0"/>
    <s v="https://i.ytimg.com/vi/Hki6RqI-eMA/maxresdefault.jpg"/>
    <x v="57"/>
    <s v="Addison Rae"/>
    <s v="https://www.youtube.com/channel/UC3Cs0kPcr0GQPCVzX32NQPg"/>
    <n v="4350000"/>
  </r>
  <r>
    <s v="Ryan Collins - Stars n Stripes (Official Music Video)"/>
    <n v="1161"/>
    <x v="0"/>
    <s v="Ryan Collins;iDreamology;Hip Hop/Rap"/>
    <n v="184"/>
    <d v="1899-12-30T03:04:00"/>
    <b v="0"/>
    <s v="https://i.ytimg.com/vi/axhYeY8zG70/maxresdefault.jpg"/>
    <x v="58"/>
    <s v="RyanCollinsVEVO"/>
    <s v="https://www.youtube.com/channel/UC3_qhEitTtkh2PJGvtZLsZA"/>
    <n v="1"/>
  </r>
  <r>
    <s v="Sabrina Carpenter - Juno (Official Lyric Video)"/>
    <n v="34725855"/>
    <x v="0"/>
    <s v="Sabrina Carpenter;Island Records;Pop"/>
    <n v="223"/>
    <d v="1899-12-30T03:43:00"/>
    <b v="0"/>
    <s v="https://i.ytimg.com/vi_webp/1aMCVgRKcP4/maxresdefault.webp"/>
    <x v="4"/>
    <s v="Sabrina Carpenter"/>
    <s v="https://www.youtube.com/channel/UC4mYKePIas5YgGfYZ2J2OxQ"/>
    <n v="12300000"/>
  </r>
  <r>
    <s v="David Guetta, Alphaville &amp; Ava Max - Forever Young (Official Music Video)"/>
    <n v="18154200"/>
    <x v="0"/>
    <m/>
    <n v="157"/>
    <d v="1899-12-30T02:37:00"/>
    <b v="0"/>
    <s v="https://i.ytimg.com/vi_webp/_AfmgOpoCHI/maxresdefault.webp"/>
    <x v="31"/>
    <s v="David Guetta"/>
    <s v="https://www.youtube.com/channel/UC1l7wYrva1qCH-wgqcHaaRg"/>
    <n v="27600000"/>
  </r>
  <r>
    <s v="keshi - Soft Spot (Official Music Video)"/>
    <n v="26261465"/>
    <x v="0"/>
    <s v="keshi;Island Records;Pop"/>
    <n v="204"/>
    <d v="1899-12-30T03:24:00"/>
    <b v="0"/>
    <s v="https://i.ytimg.com/vi/4Lmcadu8ghM/maxresdefault.jpg"/>
    <x v="59"/>
    <s v="keshi"/>
    <s v="https://www.youtube.com/channel/UCuCRWL0H5WnXmPBJ3JdbVLA"/>
    <n v="1900000"/>
  </r>
  <r>
    <s v="Tyla x Wizkid - DYNAMITE (Official Music Video)"/>
    <n v="7826393"/>
    <x v="0"/>
    <s v="tyla;new artist;getting late;tyla to last;to last tyla;to last;last;kooldrink;epic;epic records;new music;fax records;electronic;electronic music;dance music;dj lag;overdue;tyla been thinking;been thinking tyla;been thinking;ayra starr;ayra starr tyla;tyla ayra starr girl next door;girl next door;tyla girl next door;ayra starr girl next door;girl next door tyla ayra starr;water;tyla water;water tyla;tyla bliss;DYNAMITE;Tyla Wizkid"/>
    <n v="195"/>
    <d v="1899-12-30T03:15:00"/>
    <b v="0"/>
    <s v="https://i.ytimg.com/vi/CQIYbytAyVQ/maxresdefault.jpg"/>
    <x v="51"/>
    <s v="Tyla"/>
    <s v="https://www.youtube.com/channel/UCr2xjaS7CIx1OY7hYwrXb8A"/>
    <n v="5070000"/>
  </r>
  <r>
    <s v="Ariana Grande - intro (end of the world) (extended) (lyric visualizer)"/>
    <n v="19166284"/>
    <x v="0"/>
    <s v="Ariana Grande;Republic Records;Pop"/>
    <n v="161"/>
    <d v="1899-12-30T02:41:00"/>
    <b v="0"/>
    <s v="https://i.ytimg.com/vi/ztotaQ79eek/maxresdefault.jpg"/>
    <x v="60"/>
    <s v="Ariana Grande"/>
    <s v="https://www.youtube.com/channel/UC0VOyT2OCBKdQhF3BAbZ-1g"/>
    <n v="56400000"/>
  </r>
  <r>
    <s v="Maz Univerze - Heroes (Official Music Video)"/>
    <n v="8687"/>
    <x v="0"/>
    <m/>
    <n v="194"/>
    <d v="1899-12-30T03:14:00"/>
    <b v="0"/>
    <s v="https://i.ytimg.com/vi/I44iglOjrBI/maxresdefault.jpg"/>
    <x v="61"/>
    <s v="Maz Univerze"/>
    <s v="https://www.youtube.com/channel/UCLQxyu1bZW4E4Y0KJf4o8UQ"/>
    <n v="2120"/>
  </r>
  <r>
    <s v="Taylor Swift - Guilty as Sin (Official Lyric Video)"/>
    <n v="46131082"/>
    <x v="0"/>
    <s v="taylor swift;taylor;swift;taylor swift ttpd;tortured poets department;new taylor swift;taylor swift album;ts ttpd;ttpd anthology;taylor swift tortured poets department;taylor swift lyrics;the tortured poets department"/>
    <n v="259"/>
    <d v="1899-12-30T04:19:00"/>
    <b v="0"/>
    <s v="https://i.ytimg.com/vi_webp/OOYlWF6V8t8/maxresdefault.webp"/>
    <x v="42"/>
    <s v="Taylor Swift"/>
    <s v="https://www.youtube.com/channel/UCqECaJ8Gagnn7YCbPEzWH6g"/>
    <n v="61500000"/>
  </r>
  <r>
    <s v="Selena Gomez, benny blanco - Sunset Blvd (Official Video)"/>
    <n v="18620923"/>
    <x v="0"/>
    <s v="Selena Gomez;benny blanco;SMG Music LLC Friends Keep Secrets under exclusive license to Interscope Records;Pop"/>
    <n v="175"/>
    <d v="1899-12-30T02:55:00"/>
    <b v="0"/>
    <s v="https://i.ytimg.com/vi/nJG5CWsne8E/maxresdefault.jpg"/>
    <x v="62"/>
    <s v="Selena Gomez"/>
    <s v="https://www.youtube.com/channel/UCjK8ORC71kwyj1DWFwril_A"/>
    <n v="35500000"/>
  </r>
  <r>
    <s v="Justin Bieber - YUKON"/>
    <n v="21968615"/>
    <x v="0"/>
    <s v="justin;bieber;justinbieber;purpose;myworld;journals;baby;yummy;believe;never say never;under the mistletoe;10000 hours;i dont care;sorry;love yourself;let me love you;im the one;no brainer;cold water;beauty and a beat;what do you mean;as long as you love me;boyfriend;justice;hold on;peaches;anyone;stuck with u;freedom;swag;yukon;daisies;cole;cole bennett;lyrical lemonade;hailey;hailey bieber;biebs;walking away;go baby;slide;slide city;r&amp;b;hiphop;pop"/>
    <n v="183"/>
    <d v="1899-12-30T03:03:00"/>
    <b v="0"/>
    <s v="https://i.ytimg.com/vi_webp/fXivMSJm_kA/maxresdefault.webp"/>
    <x v="55"/>
    <s v="Justin Bieber"/>
    <s v="https://www.youtube.com/channel/UCIwFjwMjI0y7PDBVEO9-bkQ"/>
    <n v="76200000"/>
  </r>
  <r>
    <s v="Ariana Grande - twilight zone (Official Lyric Video)"/>
    <n v="18245315"/>
    <x v="0"/>
    <s v="Ariana Grande;Republic Records;Pop"/>
    <n v="202"/>
    <d v="1899-12-30T03:22:00"/>
    <b v="0"/>
    <s v="https://i.ytimg.com/vi/x1XIJM6spaE/maxresdefault.jpg"/>
    <x v="60"/>
    <s v="Ariana Grande"/>
    <s v="https://www.youtube.com/channel/UC0VOyT2OCBKdQhF3BAbZ-1g"/>
    <n v="56400000"/>
  </r>
  <r>
    <s v="Gracie Abrams - I Love You, Iam Sorry (Official Music Video)"/>
    <n v="31456772"/>
    <x v="0"/>
    <s v="Gracie Abrams;Gracie Abrams, under exclusive license to Interscope Records;Pop"/>
    <n v="234"/>
    <d v="1899-12-30T03:54:00"/>
    <b v="0"/>
    <s v="https://i.ytimg.com/vi/uxjhN_Donfw/maxresdefault.jpg"/>
    <x v="22"/>
    <s v="Gracie Abrams"/>
    <s v="https://www.youtube.com/channel/UCVFRVXH1hRoWkmpKCRmLMiQ"/>
    <n v="1770000"/>
  </r>
  <r>
    <s v="HoodTrophy Bino ft. FCG Heem - Miami (Official Music Video)"/>
    <n v="66051"/>
    <x v="0"/>
    <m/>
    <n v="197"/>
    <d v="1899-12-30T03:17:00"/>
    <b v="0"/>
    <s v="https://i.ytimg.com/vi_webp/I-gmbHgeN1I/maxresdefault.webp"/>
    <x v="63"/>
    <s v="HoodTrophy Bino"/>
    <s v="https://www.youtube.com/channel/UCsaZi3QZrZ5-skEIPPNrV_w"/>
    <n v="20300"/>
  </r>
  <r>
    <s v="Sean Paul x INNA - Let It Talk To Me"/>
    <n v="16952860"/>
    <x v="0"/>
    <s v="Sean Paul"/>
    <n v="155"/>
    <d v="1899-12-30T02:35:00"/>
    <b v="0"/>
    <s v="https://i.ytimg.com/vi_webp/nkRyAVQdqAA/maxresdefault.webp"/>
    <x v="64"/>
    <s v="Sean Paul"/>
    <s v="https://www.youtube.com/channel/UCkdc7gHpavxpgGalxKbgSHA"/>
    <n v="5200000"/>
  </r>
  <r>
    <s v="Selena Gomez, benny blanco - How Does It Feel To Be Forgotten (Official Lyric Video)"/>
    <n v="16971256"/>
    <x v="0"/>
    <s v="Selena Gomez;benny blanco;SMG Music LLC Friends Keep Secrets under exclusive license to Interscope Records;Pop;How Does It Feel To Be Forgotten;Said Love You First;New Selena Music;New Selena Album;Selena and benny"/>
    <n v="161"/>
    <d v="1899-12-30T02:41:00"/>
    <b v="0"/>
    <s v="https://i.ytimg.com/vi/4LcNr0T2yAA/maxresdefault.jpg"/>
    <x v="62"/>
    <s v="Selena Gomez"/>
    <s v="https://www.youtube.com/channel/UCjK8ORC71kwyj1DWFwril_A"/>
    <n v="355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5A890-CD2F-4AAB-8F7B-0588CE63BBD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">
  <location ref="E3:F6" firstHeaderRow="1" firstDataRow="1" firstDataCol="1"/>
  <pivotFields count="12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Duration" fld="4" subtotal="average" baseField="2" baseItem="0"/>
  </dataFields>
  <formats count="10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3">
      <pivotArea field="2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2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2F40F-9F59-4AE5-91AC-F591C4A9865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2:B68" firstHeaderRow="1" firstDataRow="1" firstDataCol="1"/>
  <pivotFields count="12">
    <pivotField showAll="0"/>
    <pivotField dataField="1" showAll="0"/>
    <pivotField showAll="0"/>
    <pivotField showAll="0"/>
    <pivotField showAll="0"/>
    <pivotField numFmtId="20" showAll="0"/>
    <pivotField showAll="0"/>
    <pivotField showAll="0"/>
    <pivotField axis="axisRow" showAll="0">
      <items count="66">
        <item x="57"/>
        <item x="8"/>
        <item x="60"/>
        <item x="37"/>
        <item x="3"/>
        <item x="27"/>
        <item x="38"/>
        <item x="23"/>
        <item x="50"/>
        <item x="52"/>
        <item x="12"/>
        <item x="44"/>
        <item x="45"/>
        <item x="31"/>
        <item x="41"/>
        <item x="46"/>
        <item x="18"/>
        <item x="34"/>
        <item x="56"/>
        <item x="5"/>
        <item x="36"/>
        <item x="22"/>
        <item x="63"/>
        <item x="54"/>
        <item x="53"/>
        <item x="30"/>
        <item x="15"/>
        <item x="55"/>
        <item x="19"/>
        <item x="9"/>
        <item x="59"/>
        <item x="1"/>
        <item x="11"/>
        <item x="13"/>
        <item x="40"/>
        <item x="61"/>
        <item x="48"/>
        <item x="25"/>
        <item x="20"/>
        <item x="28"/>
        <item x="21"/>
        <item x="33"/>
        <item x="49"/>
        <item x="2"/>
        <item x="26"/>
        <item x="0"/>
        <item x="39"/>
        <item x="58"/>
        <item x="16"/>
        <item x="4"/>
        <item x="64"/>
        <item x="62"/>
        <item x="24"/>
        <item x="10"/>
        <item x="47"/>
        <item x="29"/>
        <item x="35"/>
        <item x="42"/>
        <item x="14"/>
        <item x="32"/>
        <item x="17"/>
        <item x="51"/>
        <item x="43"/>
        <item x="6"/>
        <item x="7"/>
        <item t="default"/>
      </items>
    </pivotField>
    <pivotField showAll="0"/>
    <pivotField showAll="0"/>
    <pivotField showAll="0"/>
  </pivotFields>
  <rowFields count="1">
    <field x="8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Sum of View_Count" fld="1" baseField="0" baseItem="0"/>
  </dataFields>
  <formats count="1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8" type="button" dataOnly="0" labelOnly="1" outline="0" axis="axisRow" fieldPosition="0"/>
    </format>
    <format dxfId="18">
      <pivotArea dataOnly="0" labelOnly="1" fieldPosition="0">
        <references count="1">
          <reference field="8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">
      <pivotArea dataOnly="0" labelOnly="1" fieldPosition="0">
        <references count="1">
          <reference field="8" count="1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8">
      <pivotArea field="8" type="button" dataOnly="0" labelOnly="1" outline="0" axis="axisRow" fieldPosition="0"/>
    </format>
    <format dxfId="7">
      <pivotArea dataOnly="0" labelOnly="1" outline="0" axis="axisValues" fieldPosition="0"/>
    </format>
    <format dxfId="6">
      <pivotArea field="8" type="button" dataOnly="0" labelOnly="1" outline="0" axis="axisRow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85168-8D51-4BE7-AC4C-3B984CD105FD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1:C67" firstHeaderRow="0" firstDataRow="1" firstDataCol="1"/>
  <pivotFields count="3">
    <pivotField axis="axisRow" allDrilled="1" subtotalTop="0" showAll="0" dataSourceSort="1" defaultSubtotal="0" defaultAttributeDrillState="1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-2"/>
  </colFields>
  <colItems count="2">
    <i>
      <x/>
    </i>
    <i i="1">
      <x v="1"/>
    </i>
  </colItems>
  <dataFields count="2">
    <dataField name="Channel_Follower_Count" fld="1" baseField="0" baseItem="0"/>
    <dataField name="Sum of View_Count" fld="2" baseField="0" baseItem="0"/>
  </dataFields>
  <formats count="7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">
      <pivotArea dataOnly="0" labelOnly="1" fieldPosition="0">
        <references count="1">
          <reference field="0" count="1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</reference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hannel_Follower_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2-Data cleaning!$A$1:$L$1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channel/UCBo1hnzxV9rz3WVsv__Rn1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hannel/UCDGmojLIoWpXok597xYo8cg" TargetMode="External"/><Relationship Id="rId2" Type="http://schemas.openxmlformats.org/officeDocument/2006/relationships/hyperlink" Target="https://www.youtube.com/channel/UCZy4ki_L4bzw9LdJ1TgQy6Q" TargetMode="External"/><Relationship Id="rId1" Type="http://schemas.openxmlformats.org/officeDocument/2006/relationships/hyperlink" Target="https://www.youtube.com/channel/UC07Kxew-cMIaykMOkzqHtBQ" TargetMode="External"/><Relationship Id="rId4" Type="http://schemas.openxmlformats.org/officeDocument/2006/relationships/hyperlink" Target="https://www.youtube.com/channel/UCBo1hnzxV9rz3WVsv__Rn1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33CF-07F9-4E19-8DD7-3C57C8E28C06}">
  <dimension ref="A1:L101"/>
  <sheetViews>
    <sheetView topLeftCell="A82" workbookViewId="0">
      <selection sqref="A1:L101"/>
    </sheetView>
  </sheetViews>
  <sheetFormatPr defaultRowHeight="14.4" x14ac:dyDescent="0.3"/>
  <cols>
    <col min="1" max="1" width="45.88671875" customWidth="1"/>
    <col min="2" max="2" width="52" customWidth="1"/>
    <col min="3" max="3" width="17.44140625" customWidth="1"/>
    <col min="4" max="4" width="15" customWidth="1"/>
    <col min="5" max="5" width="15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12</v>
      </c>
      <c r="C2">
        <v>2009014557</v>
      </c>
      <c r="D2" t="s">
        <v>13</v>
      </c>
      <c r="E2" t="s">
        <v>14</v>
      </c>
      <c r="F2">
        <v>173</v>
      </c>
      <c r="G2" s="1">
        <v>0.12013888888888889</v>
      </c>
      <c r="H2" t="b">
        <v>0</v>
      </c>
      <c r="I2" t="s">
        <v>15</v>
      </c>
      <c r="J2" t="s">
        <v>16</v>
      </c>
      <c r="K2" t="s">
        <v>17</v>
      </c>
      <c r="L2">
        <v>19200000</v>
      </c>
    </row>
    <row r="3" spans="1:12" x14ac:dyDescent="0.3">
      <c r="A3" t="s">
        <v>18</v>
      </c>
      <c r="B3" t="s">
        <v>18</v>
      </c>
      <c r="C3">
        <v>1324833300</v>
      </c>
      <c r="D3" t="s">
        <v>13</v>
      </c>
      <c r="E3" t="s">
        <v>19</v>
      </c>
      <c r="F3">
        <v>252</v>
      </c>
      <c r="G3" s="1">
        <v>0.17499999999999999</v>
      </c>
      <c r="H3" t="b">
        <v>0</v>
      </c>
      <c r="I3" t="s">
        <v>20</v>
      </c>
      <c r="J3" t="s">
        <v>21</v>
      </c>
      <c r="K3" t="s">
        <v>22</v>
      </c>
      <c r="L3">
        <v>29600000</v>
      </c>
    </row>
    <row r="4" spans="1:12" x14ac:dyDescent="0.3">
      <c r="A4" t="s">
        <v>23</v>
      </c>
      <c r="B4" t="s">
        <v>23</v>
      </c>
      <c r="C4">
        <v>2536628</v>
      </c>
      <c r="D4" t="s">
        <v>13</v>
      </c>
      <c r="E4" t="s">
        <v>24</v>
      </c>
      <c r="F4">
        <v>160</v>
      </c>
      <c r="G4" s="1">
        <v>0.1111111111111111</v>
      </c>
      <c r="H4" t="b">
        <v>0</v>
      </c>
      <c r="I4" t="s">
        <v>25</v>
      </c>
      <c r="J4" t="s">
        <v>26</v>
      </c>
      <c r="K4" t="s">
        <v>27</v>
      </c>
      <c r="L4">
        <v>408000</v>
      </c>
    </row>
    <row r="5" spans="1:12" x14ac:dyDescent="0.3">
      <c r="A5" t="s">
        <v>28</v>
      </c>
      <c r="B5" t="s">
        <v>28</v>
      </c>
      <c r="C5">
        <v>558329099</v>
      </c>
      <c r="D5" t="s">
        <v>13</v>
      </c>
      <c r="E5" t="s">
        <v>29</v>
      </c>
      <c r="F5">
        <v>231</v>
      </c>
      <c r="G5" s="1">
        <v>0.16041666666666668</v>
      </c>
      <c r="H5" t="b">
        <v>0</v>
      </c>
      <c r="I5" t="s">
        <v>30</v>
      </c>
      <c r="J5" t="s">
        <v>31</v>
      </c>
      <c r="K5" t="s">
        <v>32</v>
      </c>
      <c r="L5">
        <v>56800000</v>
      </c>
    </row>
    <row r="6" spans="1:12" x14ac:dyDescent="0.3">
      <c r="A6" t="s">
        <v>33</v>
      </c>
      <c r="B6" t="s">
        <v>33</v>
      </c>
      <c r="C6">
        <v>2113548</v>
      </c>
      <c r="D6" t="s">
        <v>13</v>
      </c>
      <c r="E6" t="s">
        <v>24</v>
      </c>
      <c r="F6">
        <v>180</v>
      </c>
      <c r="G6" s="1">
        <v>0.125</v>
      </c>
      <c r="H6" t="b">
        <v>0</v>
      </c>
      <c r="I6" t="s">
        <v>34</v>
      </c>
      <c r="J6" t="s">
        <v>26</v>
      </c>
      <c r="K6" t="s">
        <v>27</v>
      </c>
      <c r="L6">
        <v>408000</v>
      </c>
    </row>
    <row r="7" spans="1:12" x14ac:dyDescent="0.3">
      <c r="A7" t="s">
        <v>35</v>
      </c>
      <c r="B7" t="s">
        <v>35</v>
      </c>
      <c r="C7">
        <v>472570966</v>
      </c>
      <c r="D7" t="s">
        <v>13</v>
      </c>
      <c r="E7" t="s">
        <v>36</v>
      </c>
      <c r="F7">
        <v>201</v>
      </c>
      <c r="G7" s="1">
        <v>0.13958333333333334</v>
      </c>
      <c r="H7" t="b">
        <v>0</v>
      </c>
      <c r="I7" t="s">
        <v>37</v>
      </c>
      <c r="J7" t="s">
        <v>38</v>
      </c>
      <c r="K7" t="s">
        <v>39</v>
      </c>
      <c r="L7">
        <v>12300000</v>
      </c>
    </row>
    <row r="8" spans="1:12" x14ac:dyDescent="0.3">
      <c r="A8" t="s">
        <v>40</v>
      </c>
      <c r="B8" t="s">
        <v>40</v>
      </c>
      <c r="C8">
        <v>191073418</v>
      </c>
      <c r="D8" t="s">
        <v>13</v>
      </c>
      <c r="E8" t="s">
        <v>41</v>
      </c>
      <c r="F8">
        <v>269</v>
      </c>
      <c r="G8" s="1">
        <v>0.18680555555555556</v>
      </c>
      <c r="H8" t="b">
        <v>0</v>
      </c>
      <c r="I8" t="s">
        <v>42</v>
      </c>
      <c r="J8" t="s">
        <v>21</v>
      </c>
      <c r="K8" t="s">
        <v>22</v>
      </c>
      <c r="L8">
        <v>29600000</v>
      </c>
    </row>
    <row r="9" spans="1:12" x14ac:dyDescent="0.3">
      <c r="A9" t="s">
        <v>43</v>
      </c>
      <c r="B9" t="s">
        <v>43</v>
      </c>
      <c r="C9">
        <v>184696317</v>
      </c>
      <c r="D9" t="s">
        <v>13</v>
      </c>
      <c r="E9" t="s">
        <v>44</v>
      </c>
      <c r="F9">
        <v>183</v>
      </c>
      <c r="G9" s="1">
        <v>0.12708333333333333</v>
      </c>
      <c r="H9" t="b">
        <v>0</v>
      </c>
      <c r="I9" t="s">
        <v>45</v>
      </c>
      <c r="J9" t="s">
        <v>46</v>
      </c>
      <c r="K9" t="s">
        <v>47</v>
      </c>
      <c r="L9">
        <v>58500000</v>
      </c>
    </row>
    <row r="10" spans="1:12" x14ac:dyDescent="0.3">
      <c r="A10" t="s">
        <v>48</v>
      </c>
      <c r="B10" t="s">
        <v>48</v>
      </c>
      <c r="C10">
        <v>187281056</v>
      </c>
      <c r="D10" t="s">
        <v>49</v>
      </c>
      <c r="E10" t="s">
        <v>50</v>
      </c>
      <c r="F10">
        <v>221</v>
      </c>
      <c r="G10" s="1">
        <v>0.15347222222222223</v>
      </c>
      <c r="H10" t="b">
        <v>0</v>
      </c>
      <c r="I10" t="s">
        <v>51</v>
      </c>
      <c r="J10" t="s">
        <v>52</v>
      </c>
      <c r="K10" t="s">
        <v>53</v>
      </c>
      <c r="L10">
        <v>1220000</v>
      </c>
    </row>
    <row r="11" spans="1:12" x14ac:dyDescent="0.3">
      <c r="A11" t="s">
        <v>54</v>
      </c>
      <c r="B11" t="s">
        <v>54</v>
      </c>
      <c r="C11">
        <v>40408980</v>
      </c>
      <c r="D11" t="s">
        <v>13</v>
      </c>
      <c r="E11" t="s">
        <v>29</v>
      </c>
      <c r="F11">
        <v>261</v>
      </c>
      <c r="G11" s="1">
        <v>0.18124999999999999</v>
      </c>
      <c r="H11" t="b">
        <v>0</v>
      </c>
      <c r="I11" t="s">
        <v>55</v>
      </c>
      <c r="J11" t="s">
        <v>31</v>
      </c>
      <c r="K11" t="s">
        <v>32</v>
      </c>
      <c r="L11">
        <v>56800000</v>
      </c>
    </row>
    <row r="12" spans="1:12" x14ac:dyDescent="0.3">
      <c r="A12" t="s">
        <v>56</v>
      </c>
      <c r="B12" t="s">
        <v>56</v>
      </c>
      <c r="C12">
        <v>1198540</v>
      </c>
      <c r="D12" t="s">
        <v>49</v>
      </c>
      <c r="F12">
        <v>152</v>
      </c>
      <c r="G12" s="1">
        <v>0.10555555555555556</v>
      </c>
      <c r="H12" t="b">
        <v>0</v>
      </c>
      <c r="I12" t="s">
        <v>57</v>
      </c>
      <c r="J12" t="s">
        <v>58</v>
      </c>
      <c r="K12" t="s">
        <v>59</v>
      </c>
      <c r="L12">
        <v>142000</v>
      </c>
    </row>
    <row r="13" spans="1:12" x14ac:dyDescent="0.3">
      <c r="A13" t="s">
        <v>60</v>
      </c>
      <c r="B13" t="s">
        <v>60</v>
      </c>
      <c r="C13">
        <v>147871443</v>
      </c>
      <c r="D13" t="s">
        <v>49</v>
      </c>
      <c r="F13">
        <v>187</v>
      </c>
      <c r="G13" s="1">
        <v>0.12986111111111112</v>
      </c>
      <c r="H13" t="b">
        <v>0</v>
      </c>
      <c r="I13" t="s">
        <v>61</v>
      </c>
      <c r="J13" t="s">
        <v>62</v>
      </c>
      <c r="K13" t="s">
        <v>63</v>
      </c>
      <c r="L13">
        <v>4050000</v>
      </c>
    </row>
    <row r="14" spans="1:12" x14ac:dyDescent="0.3">
      <c r="A14" t="s">
        <v>64</v>
      </c>
      <c r="B14" t="s">
        <v>64</v>
      </c>
      <c r="C14">
        <v>142084039</v>
      </c>
      <c r="D14" t="s">
        <v>49</v>
      </c>
      <c r="F14">
        <v>178</v>
      </c>
      <c r="G14" s="1">
        <v>0.12361111111111112</v>
      </c>
      <c r="H14" t="b">
        <v>0</v>
      </c>
      <c r="I14" t="s">
        <v>65</v>
      </c>
      <c r="J14" t="s">
        <v>66</v>
      </c>
      <c r="K14" t="s">
        <v>67</v>
      </c>
      <c r="L14">
        <v>19700000</v>
      </c>
    </row>
    <row r="15" spans="1:12" x14ac:dyDescent="0.3">
      <c r="A15" t="s">
        <v>68</v>
      </c>
      <c r="B15" t="s">
        <v>68</v>
      </c>
      <c r="C15">
        <v>288277902</v>
      </c>
      <c r="D15" t="s">
        <v>13</v>
      </c>
      <c r="E15" t="s">
        <v>69</v>
      </c>
      <c r="F15">
        <v>173</v>
      </c>
      <c r="G15" s="1">
        <v>0.12013888888888889</v>
      </c>
      <c r="H15" t="b">
        <v>0</v>
      </c>
      <c r="I15" t="s">
        <v>70</v>
      </c>
      <c r="J15" t="s">
        <v>71</v>
      </c>
      <c r="K15" t="s">
        <v>72</v>
      </c>
      <c r="L15">
        <v>955000</v>
      </c>
    </row>
    <row r="16" spans="1:12" x14ac:dyDescent="0.3">
      <c r="A16" t="s">
        <v>73</v>
      </c>
      <c r="B16" t="s">
        <v>73</v>
      </c>
      <c r="C16">
        <v>397228595</v>
      </c>
      <c r="D16" t="s">
        <v>13</v>
      </c>
      <c r="E16" t="s">
        <v>74</v>
      </c>
      <c r="F16">
        <v>354</v>
      </c>
      <c r="G16" s="1">
        <v>0.24583333333333332</v>
      </c>
      <c r="H16" t="b">
        <v>0</v>
      </c>
      <c r="I16" t="s">
        <v>75</v>
      </c>
      <c r="J16" t="s">
        <v>66</v>
      </c>
      <c r="K16" t="s">
        <v>76</v>
      </c>
      <c r="L16">
        <v>19700000</v>
      </c>
    </row>
    <row r="17" spans="1:12" x14ac:dyDescent="0.3">
      <c r="A17" t="s">
        <v>77</v>
      </c>
      <c r="B17" t="s">
        <v>77</v>
      </c>
      <c r="C17">
        <v>115058148</v>
      </c>
      <c r="D17" t="s">
        <v>13</v>
      </c>
      <c r="E17" t="s">
        <v>78</v>
      </c>
      <c r="F17">
        <v>244</v>
      </c>
      <c r="G17" s="1">
        <v>0.16944444444444445</v>
      </c>
      <c r="H17" t="b">
        <v>0</v>
      </c>
      <c r="I17" t="s">
        <v>79</v>
      </c>
      <c r="J17" t="s">
        <v>80</v>
      </c>
      <c r="K17" t="s">
        <v>81</v>
      </c>
      <c r="L17">
        <v>8080000</v>
      </c>
    </row>
    <row r="18" spans="1:12" x14ac:dyDescent="0.3">
      <c r="A18" t="s">
        <v>82</v>
      </c>
      <c r="B18" t="s">
        <v>82</v>
      </c>
      <c r="C18">
        <v>12089</v>
      </c>
      <c r="D18" t="s">
        <v>13</v>
      </c>
      <c r="E18" t="s">
        <v>83</v>
      </c>
      <c r="F18">
        <v>189</v>
      </c>
      <c r="G18" s="1">
        <v>0.13125000000000001</v>
      </c>
      <c r="H18" t="b">
        <v>0</v>
      </c>
      <c r="I18" t="s">
        <v>84</v>
      </c>
      <c r="J18" t="s">
        <v>85</v>
      </c>
      <c r="K18" t="s">
        <v>86</v>
      </c>
      <c r="L18">
        <v>1320</v>
      </c>
    </row>
    <row r="19" spans="1:12" x14ac:dyDescent="0.3">
      <c r="A19" t="s">
        <v>87</v>
      </c>
      <c r="B19" t="s">
        <v>87</v>
      </c>
      <c r="C19">
        <v>110991682</v>
      </c>
      <c r="D19" t="s">
        <v>13</v>
      </c>
      <c r="E19" t="s">
        <v>88</v>
      </c>
      <c r="F19">
        <v>284</v>
      </c>
      <c r="G19" s="1">
        <v>0.19722222222222222</v>
      </c>
      <c r="H19" t="b">
        <v>0</v>
      </c>
      <c r="I19" t="s">
        <v>89</v>
      </c>
      <c r="J19" t="s">
        <v>90</v>
      </c>
      <c r="K19" t="s">
        <v>91</v>
      </c>
      <c r="L19">
        <v>565000</v>
      </c>
    </row>
    <row r="20" spans="1:12" x14ac:dyDescent="0.3">
      <c r="A20" t="s">
        <v>92</v>
      </c>
      <c r="B20" t="s">
        <v>92</v>
      </c>
      <c r="C20">
        <v>160421970</v>
      </c>
      <c r="D20" t="s">
        <v>13</v>
      </c>
      <c r="E20" t="s">
        <v>93</v>
      </c>
      <c r="F20">
        <v>185</v>
      </c>
      <c r="G20" s="1">
        <v>0.12847222222222221</v>
      </c>
      <c r="H20" t="b">
        <v>0</v>
      </c>
      <c r="I20" t="s">
        <v>94</v>
      </c>
      <c r="J20" t="s">
        <v>95</v>
      </c>
      <c r="K20" t="s">
        <v>96</v>
      </c>
      <c r="L20">
        <v>6070000</v>
      </c>
    </row>
    <row r="21" spans="1:12" x14ac:dyDescent="0.3">
      <c r="A21" t="s">
        <v>97</v>
      </c>
      <c r="B21" t="s">
        <v>97</v>
      </c>
      <c r="C21">
        <v>92973980</v>
      </c>
      <c r="D21" t="s">
        <v>13</v>
      </c>
      <c r="E21" t="s">
        <v>98</v>
      </c>
      <c r="F21">
        <v>221</v>
      </c>
      <c r="G21" s="1">
        <v>0.15347222222222223</v>
      </c>
      <c r="H21" t="b">
        <v>0</v>
      </c>
      <c r="I21" t="s">
        <v>99</v>
      </c>
      <c r="J21" t="s">
        <v>100</v>
      </c>
      <c r="K21" t="s">
        <v>101</v>
      </c>
      <c r="L21">
        <v>16100000</v>
      </c>
    </row>
    <row r="22" spans="1:12" x14ac:dyDescent="0.3">
      <c r="A22" t="s">
        <v>102</v>
      </c>
      <c r="B22" t="s">
        <v>102</v>
      </c>
      <c r="C22">
        <v>253618903</v>
      </c>
      <c r="D22" t="s">
        <v>13</v>
      </c>
      <c r="E22" t="s">
        <v>36</v>
      </c>
      <c r="F22">
        <v>263</v>
      </c>
      <c r="G22" s="1">
        <v>0.18263888888888888</v>
      </c>
      <c r="H22" t="b">
        <v>0</v>
      </c>
      <c r="I22" t="s">
        <v>103</v>
      </c>
      <c r="J22" t="s">
        <v>38</v>
      </c>
      <c r="K22" t="s">
        <v>39</v>
      </c>
      <c r="L22">
        <v>12300000</v>
      </c>
    </row>
    <row r="23" spans="1:12" x14ac:dyDescent="0.3">
      <c r="A23" t="s">
        <v>104</v>
      </c>
      <c r="B23" t="s">
        <v>104</v>
      </c>
      <c r="C23">
        <v>7805</v>
      </c>
      <c r="D23" t="s">
        <v>13</v>
      </c>
      <c r="E23" t="s">
        <v>105</v>
      </c>
      <c r="F23">
        <v>191</v>
      </c>
      <c r="G23" s="1">
        <v>0.13263888888888889</v>
      </c>
      <c r="H23" t="b">
        <v>0</v>
      </c>
      <c r="I23" t="s">
        <v>106</v>
      </c>
      <c r="J23" t="s">
        <v>107</v>
      </c>
      <c r="K23" t="s">
        <v>108</v>
      </c>
      <c r="L23">
        <v>14800</v>
      </c>
    </row>
    <row r="24" spans="1:12" x14ac:dyDescent="0.3">
      <c r="A24" t="s">
        <v>109</v>
      </c>
      <c r="B24" t="s">
        <v>109</v>
      </c>
      <c r="C24">
        <v>45822601</v>
      </c>
      <c r="D24" t="s">
        <v>13</v>
      </c>
      <c r="F24">
        <v>156</v>
      </c>
      <c r="G24" s="1">
        <v>0.10833333333333334</v>
      </c>
      <c r="H24" t="b">
        <v>0</v>
      </c>
      <c r="I24" t="s">
        <v>110</v>
      </c>
      <c r="J24" t="s">
        <v>111</v>
      </c>
      <c r="K24" t="s">
        <v>112</v>
      </c>
      <c r="L24">
        <v>655000</v>
      </c>
    </row>
    <row r="25" spans="1:12" x14ac:dyDescent="0.3">
      <c r="A25" t="s">
        <v>113</v>
      </c>
      <c r="B25" t="s">
        <v>113</v>
      </c>
      <c r="C25">
        <v>80889460</v>
      </c>
      <c r="D25" t="s">
        <v>13</v>
      </c>
      <c r="E25" t="s">
        <v>114</v>
      </c>
      <c r="F25">
        <v>236</v>
      </c>
      <c r="G25" s="1">
        <v>0.16388888888888889</v>
      </c>
      <c r="H25" t="b">
        <v>0</v>
      </c>
      <c r="I25" t="s">
        <v>115</v>
      </c>
      <c r="J25" t="s">
        <v>38</v>
      </c>
      <c r="K25" t="s">
        <v>39</v>
      </c>
      <c r="L25">
        <v>12300000</v>
      </c>
    </row>
    <row r="26" spans="1:12" x14ac:dyDescent="0.3">
      <c r="A26" t="s">
        <v>116</v>
      </c>
      <c r="B26" t="s">
        <v>116</v>
      </c>
      <c r="C26">
        <v>51336708</v>
      </c>
      <c r="D26" t="s">
        <v>13</v>
      </c>
      <c r="E26" t="s">
        <v>117</v>
      </c>
      <c r="F26">
        <v>252</v>
      </c>
      <c r="G26" s="1">
        <v>0.17499999999999999</v>
      </c>
      <c r="H26" t="b">
        <v>0</v>
      </c>
      <c r="I26" t="s">
        <v>118</v>
      </c>
      <c r="J26" t="s">
        <v>119</v>
      </c>
      <c r="K26" t="s">
        <v>120</v>
      </c>
      <c r="L26">
        <v>3140000</v>
      </c>
    </row>
    <row r="27" spans="1:12" x14ac:dyDescent="0.3">
      <c r="A27" t="s">
        <v>121</v>
      </c>
      <c r="B27" t="s">
        <v>121</v>
      </c>
      <c r="C27">
        <v>87005996</v>
      </c>
      <c r="D27" t="s">
        <v>13</v>
      </c>
      <c r="F27">
        <v>353</v>
      </c>
      <c r="G27" s="1">
        <v>0.24513888888888888</v>
      </c>
      <c r="H27" t="b">
        <v>0</v>
      </c>
      <c r="I27" t="s">
        <v>122</v>
      </c>
      <c r="J27" t="s">
        <v>123</v>
      </c>
      <c r="K27" t="s">
        <v>124</v>
      </c>
      <c r="L27">
        <v>255000</v>
      </c>
    </row>
    <row r="28" spans="1:12" x14ac:dyDescent="0.3">
      <c r="A28" t="s">
        <v>125</v>
      </c>
      <c r="B28" t="s">
        <v>125</v>
      </c>
      <c r="C28">
        <v>17322</v>
      </c>
      <c r="D28" t="s">
        <v>13</v>
      </c>
      <c r="F28">
        <v>154</v>
      </c>
      <c r="G28" s="1">
        <v>0.10694444444444444</v>
      </c>
      <c r="H28" t="b">
        <v>0</v>
      </c>
      <c r="I28" t="s">
        <v>126</v>
      </c>
      <c r="J28" t="s">
        <v>127</v>
      </c>
      <c r="K28" t="s">
        <v>128</v>
      </c>
      <c r="L28">
        <v>47</v>
      </c>
    </row>
    <row r="29" spans="1:12" x14ac:dyDescent="0.3">
      <c r="A29" t="s">
        <v>129</v>
      </c>
      <c r="B29" t="s">
        <v>129</v>
      </c>
      <c r="C29">
        <v>148501523</v>
      </c>
      <c r="D29" t="s">
        <v>13</v>
      </c>
      <c r="E29" t="s">
        <v>29</v>
      </c>
      <c r="F29">
        <v>324</v>
      </c>
      <c r="G29" s="1">
        <v>0.22500000000000001</v>
      </c>
      <c r="H29" t="b">
        <v>0</v>
      </c>
      <c r="I29" t="s">
        <v>130</v>
      </c>
      <c r="J29" t="s">
        <v>31</v>
      </c>
      <c r="K29" t="s">
        <v>32</v>
      </c>
      <c r="L29">
        <v>56800000</v>
      </c>
    </row>
    <row r="30" spans="1:12" x14ac:dyDescent="0.3">
      <c r="A30" t="s">
        <v>131</v>
      </c>
      <c r="B30" t="s">
        <v>131</v>
      </c>
      <c r="C30">
        <v>210275500</v>
      </c>
      <c r="D30" t="s">
        <v>13</v>
      </c>
      <c r="E30" t="s">
        <v>36</v>
      </c>
      <c r="F30">
        <v>198</v>
      </c>
      <c r="G30" s="1">
        <v>0.13750000000000001</v>
      </c>
      <c r="H30" t="b">
        <v>0</v>
      </c>
      <c r="I30" t="s">
        <v>132</v>
      </c>
      <c r="J30" t="s">
        <v>38</v>
      </c>
      <c r="K30" t="s">
        <v>39</v>
      </c>
      <c r="L30">
        <v>12300000</v>
      </c>
    </row>
    <row r="31" spans="1:12" x14ac:dyDescent="0.3">
      <c r="A31" t="s">
        <v>133</v>
      </c>
      <c r="B31" t="s">
        <v>133</v>
      </c>
      <c r="C31">
        <v>209840684</v>
      </c>
      <c r="D31" t="s">
        <v>13</v>
      </c>
      <c r="E31" t="s">
        <v>134</v>
      </c>
      <c r="F31">
        <v>201</v>
      </c>
      <c r="G31" s="1">
        <v>0.13958333333333334</v>
      </c>
      <c r="H31" t="b">
        <v>0</v>
      </c>
      <c r="I31" t="s">
        <v>135</v>
      </c>
      <c r="J31" t="s">
        <v>136</v>
      </c>
      <c r="K31" t="s">
        <v>137</v>
      </c>
      <c r="L31">
        <v>28400000</v>
      </c>
    </row>
    <row r="32" spans="1:12" x14ac:dyDescent="0.3">
      <c r="A32" t="s">
        <v>138</v>
      </c>
      <c r="B32" t="s">
        <v>138</v>
      </c>
      <c r="C32">
        <v>28007213</v>
      </c>
      <c r="D32" t="s">
        <v>13</v>
      </c>
      <c r="E32" t="s">
        <v>139</v>
      </c>
      <c r="F32">
        <v>166</v>
      </c>
      <c r="G32" s="1">
        <v>0.11527777777777778</v>
      </c>
      <c r="H32" t="b">
        <v>0</v>
      </c>
      <c r="I32" t="s">
        <v>140</v>
      </c>
      <c r="J32" t="s">
        <v>141</v>
      </c>
      <c r="K32" t="s">
        <v>142</v>
      </c>
      <c r="L32">
        <v>1770000</v>
      </c>
    </row>
    <row r="33" spans="1:12" x14ac:dyDescent="0.3">
      <c r="A33" t="s">
        <v>143</v>
      </c>
      <c r="B33" t="s">
        <v>143</v>
      </c>
      <c r="C33">
        <v>6605</v>
      </c>
      <c r="D33" t="s">
        <v>13</v>
      </c>
      <c r="F33">
        <v>137</v>
      </c>
      <c r="G33" s="1">
        <v>9.5138888888888884E-2</v>
      </c>
      <c r="H33" t="b">
        <v>0</v>
      </c>
      <c r="I33" t="s">
        <v>144</v>
      </c>
      <c r="J33" t="s">
        <v>145</v>
      </c>
      <c r="K33" t="s">
        <v>146</v>
      </c>
      <c r="L33">
        <v>3630</v>
      </c>
    </row>
    <row r="34" spans="1:12" x14ac:dyDescent="0.3">
      <c r="A34" t="s">
        <v>147</v>
      </c>
      <c r="B34" t="s">
        <v>147</v>
      </c>
      <c r="C34">
        <v>236500879</v>
      </c>
      <c r="D34" t="s">
        <v>13</v>
      </c>
      <c r="F34">
        <v>193</v>
      </c>
      <c r="G34" s="1">
        <v>0.13402777777777777</v>
      </c>
      <c r="H34" t="b">
        <v>0</v>
      </c>
      <c r="I34" t="s">
        <v>148</v>
      </c>
      <c r="J34" t="s">
        <v>149</v>
      </c>
      <c r="K34" t="s">
        <v>150</v>
      </c>
      <c r="L34">
        <v>1230000</v>
      </c>
    </row>
    <row r="35" spans="1:12" x14ac:dyDescent="0.3">
      <c r="A35" t="s">
        <v>151</v>
      </c>
      <c r="B35" t="s">
        <v>151</v>
      </c>
      <c r="C35">
        <v>36173120</v>
      </c>
      <c r="D35" t="s">
        <v>13</v>
      </c>
      <c r="E35" t="s">
        <v>152</v>
      </c>
      <c r="F35">
        <v>174</v>
      </c>
      <c r="G35" s="1">
        <v>0.12083333333333333</v>
      </c>
      <c r="H35" t="b">
        <v>0</v>
      </c>
      <c r="I35" t="s">
        <v>153</v>
      </c>
      <c r="J35" t="s">
        <v>154</v>
      </c>
      <c r="K35" t="s">
        <v>155</v>
      </c>
      <c r="L35">
        <v>391000</v>
      </c>
    </row>
    <row r="36" spans="1:12" x14ac:dyDescent="0.3">
      <c r="A36" t="s">
        <v>156</v>
      </c>
      <c r="B36" t="s">
        <v>156</v>
      </c>
      <c r="C36">
        <v>119135427</v>
      </c>
      <c r="D36" t="s">
        <v>13</v>
      </c>
      <c r="E36" t="s">
        <v>157</v>
      </c>
      <c r="F36">
        <v>218</v>
      </c>
      <c r="G36" s="1">
        <v>0.15138888888888888</v>
      </c>
      <c r="H36" t="b">
        <v>0</v>
      </c>
      <c r="I36" t="s">
        <v>158</v>
      </c>
      <c r="J36" t="s">
        <v>16</v>
      </c>
      <c r="K36" t="s">
        <v>17</v>
      </c>
      <c r="L36">
        <v>19200000</v>
      </c>
    </row>
    <row r="37" spans="1:12" x14ac:dyDescent="0.3">
      <c r="A37" t="s">
        <v>159</v>
      </c>
      <c r="B37" t="s">
        <v>159</v>
      </c>
      <c r="C37">
        <v>70965585</v>
      </c>
      <c r="D37" t="s">
        <v>49</v>
      </c>
      <c r="F37">
        <v>166</v>
      </c>
      <c r="G37" s="1">
        <v>0.11527777777777778</v>
      </c>
      <c r="H37" t="b">
        <v>0</v>
      </c>
      <c r="I37" t="s">
        <v>160</v>
      </c>
      <c r="J37" t="s">
        <v>66</v>
      </c>
      <c r="K37" t="s">
        <v>67</v>
      </c>
      <c r="L37">
        <v>19700000</v>
      </c>
    </row>
    <row r="38" spans="1:12" x14ac:dyDescent="0.3">
      <c r="A38" t="s">
        <v>161</v>
      </c>
      <c r="B38" t="s">
        <v>161</v>
      </c>
      <c r="C38">
        <v>7550110</v>
      </c>
      <c r="D38" t="s">
        <v>13</v>
      </c>
      <c r="E38" t="s">
        <v>162</v>
      </c>
      <c r="F38">
        <v>222</v>
      </c>
      <c r="G38" s="1">
        <v>0.15416666666666667</v>
      </c>
      <c r="H38" t="b">
        <v>0</v>
      </c>
      <c r="I38" t="s">
        <v>163</v>
      </c>
      <c r="J38" t="s">
        <v>164</v>
      </c>
      <c r="K38" t="s">
        <v>165</v>
      </c>
      <c r="L38">
        <v>360000</v>
      </c>
    </row>
    <row r="39" spans="1:12" x14ac:dyDescent="0.3">
      <c r="A39" t="s">
        <v>166</v>
      </c>
      <c r="B39" t="s">
        <v>166</v>
      </c>
      <c r="C39">
        <v>112391296</v>
      </c>
      <c r="D39" t="s">
        <v>13</v>
      </c>
      <c r="E39" t="s">
        <v>167</v>
      </c>
      <c r="F39">
        <v>234</v>
      </c>
      <c r="G39" s="1">
        <v>0.16250000000000001</v>
      </c>
      <c r="H39" t="b">
        <v>0</v>
      </c>
      <c r="I39" t="s">
        <v>168</v>
      </c>
      <c r="J39" t="s">
        <v>16</v>
      </c>
      <c r="K39" t="s">
        <v>17</v>
      </c>
      <c r="L39">
        <v>19200000</v>
      </c>
    </row>
    <row r="40" spans="1:12" x14ac:dyDescent="0.3">
      <c r="A40" t="s">
        <v>169</v>
      </c>
      <c r="B40" t="s">
        <v>169</v>
      </c>
      <c r="C40">
        <v>118077070</v>
      </c>
      <c r="D40" t="s">
        <v>13</v>
      </c>
      <c r="E40" t="s">
        <v>170</v>
      </c>
      <c r="F40">
        <v>218</v>
      </c>
      <c r="G40" s="1">
        <v>0.15138888888888888</v>
      </c>
      <c r="H40" t="b">
        <v>0</v>
      </c>
      <c r="I40" t="s">
        <v>171</v>
      </c>
      <c r="J40" t="s">
        <v>172</v>
      </c>
      <c r="K40" t="s">
        <v>173</v>
      </c>
      <c r="L40">
        <v>2250000</v>
      </c>
    </row>
    <row r="41" spans="1:12" x14ac:dyDescent="0.3">
      <c r="A41" t="s">
        <v>174</v>
      </c>
      <c r="B41" t="s">
        <v>174</v>
      </c>
      <c r="C41">
        <v>174553002</v>
      </c>
      <c r="D41" t="s">
        <v>13</v>
      </c>
      <c r="E41" t="s">
        <v>175</v>
      </c>
      <c r="F41">
        <v>191</v>
      </c>
      <c r="G41" s="1">
        <v>0.13263888888888889</v>
      </c>
      <c r="H41" t="b">
        <v>0</v>
      </c>
      <c r="I41" t="s">
        <v>176</v>
      </c>
      <c r="J41" t="s">
        <v>80</v>
      </c>
      <c r="K41" t="s">
        <v>81</v>
      </c>
      <c r="L41">
        <v>8080000</v>
      </c>
    </row>
    <row r="42" spans="1:12" x14ac:dyDescent="0.3">
      <c r="A42" t="s">
        <v>177</v>
      </c>
      <c r="B42" t="s">
        <v>177</v>
      </c>
      <c r="C42">
        <v>34415168</v>
      </c>
      <c r="D42" t="s">
        <v>13</v>
      </c>
      <c r="E42" t="s">
        <v>178</v>
      </c>
      <c r="F42">
        <v>207</v>
      </c>
      <c r="G42" s="1">
        <v>0.14374999999999999</v>
      </c>
      <c r="H42" t="b">
        <v>0</v>
      </c>
      <c r="I42" t="s">
        <v>179</v>
      </c>
      <c r="J42" t="s">
        <v>46</v>
      </c>
      <c r="K42" t="s">
        <v>47</v>
      </c>
      <c r="L42">
        <v>58500000</v>
      </c>
    </row>
    <row r="43" spans="1:12" x14ac:dyDescent="0.3">
      <c r="A43" t="s">
        <v>180</v>
      </c>
      <c r="B43" t="s">
        <v>180</v>
      </c>
      <c r="C43">
        <v>17943</v>
      </c>
      <c r="D43" t="s">
        <v>13</v>
      </c>
      <c r="E43" t="s">
        <v>181</v>
      </c>
      <c r="F43">
        <v>239</v>
      </c>
      <c r="G43" s="1">
        <v>0.16597222222222222</v>
      </c>
      <c r="H43" t="b">
        <v>0</v>
      </c>
      <c r="I43" t="s">
        <v>182</v>
      </c>
      <c r="J43" t="s">
        <v>183</v>
      </c>
      <c r="K43" t="s">
        <v>184</v>
      </c>
      <c r="L43">
        <v>32000</v>
      </c>
    </row>
    <row r="44" spans="1:12" x14ac:dyDescent="0.3">
      <c r="A44" t="s">
        <v>185</v>
      </c>
      <c r="B44" t="s">
        <v>185</v>
      </c>
      <c r="C44">
        <v>47392334</v>
      </c>
      <c r="D44" t="s">
        <v>13</v>
      </c>
      <c r="E44" t="s">
        <v>186</v>
      </c>
      <c r="F44">
        <v>202</v>
      </c>
      <c r="G44" s="1">
        <v>0.14027777777777778</v>
      </c>
      <c r="H44" t="b">
        <v>0</v>
      </c>
      <c r="I44" t="s">
        <v>187</v>
      </c>
      <c r="J44" t="s">
        <v>188</v>
      </c>
      <c r="K44" t="s">
        <v>189</v>
      </c>
      <c r="L44">
        <v>616000</v>
      </c>
    </row>
    <row r="45" spans="1:12" x14ac:dyDescent="0.3">
      <c r="A45" t="s">
        <v>190</v>
      </c>
      <c r="B45" t="s">
        <v>190</v>
      </c>
      <c r="C45">
        <v>40129974</v>
      </c>
      <c r="D45" t="s">
        <v>13</v>
      </c>
      <c r="E45" t="s">
        <v>191</v>
      </c>
      <c r="F45">
        <v>235</v>
      </c>
      <c r="G45" s="1">
        <v>0.16319444444444445</v>
      </c>
      <c r="H45" t="b">
        <v>0</v>
      </c>
      <c r="I45" t="s">
        <v>192</v>
      </c>
      <c r="J45" t="s">
        <v>193</v>
      </c>
      <c r="K45" t="s">
        <v>194</v>
      </c>
      <c r="L45">
        <v>5350000</v>
      </c>
    </row>
    <row r="46" spans="1:12" x14ac:dyDescent="0.3">
      <c r="A46" t="s">
        <v>195</v>
      </c>
      <c r="B46" t="s">
        <v>195</v>
      </c>
      <c r="C46">
        <v>41075369</v>
      </c>
      <c r="D46" t="s">
        <v>13</v>
      </c>
      <c r="F46">
        <v>204</v>
      </c>
      <c r="G46" s="1">
        <v>0.14166666666666666</v>
      </c>
      <c r="H46" t="b">
        <v>0</v>
      </c>
      <c r="I46" t="s">
        <v>196</v>
      </c>
      <c r="J46" t="s">
        <v>197</v>
      </c>
      <c r="K46" t="s">
        <v>198</v>
      </c>
      <c r="L46">
        <v>27600000</v>
      </c>
    </row>
    <row r="47" spans="1:12" x14ac:dyDescent="0.3">
      <c r="A47" t="s">
        <v>199</v>
      </c>
      <c r="B47" t="s">
        <v>199</v>
      </c>
      <c r="C47">
        <v>48615120</v>
      </c>
      <c r="D47" t="s">
        <v>13</v>
      </c>
      <c r="E47" t="s">
        <v>200</v>
      </c>
      <c r="F47">
        <v>209</v>
      </c>
      <c r="G47" s="1">
        <v>0.1451388888888889</v>
      </c>
      <c r="H47" t="b">
        <v>0</v>
      </c>
      <c r="I47" t="s">
        <v>201</v>
      </c>
      <c r="J47" t="s">
        <v>202</v>
      </c>
      <c r="K47" t="s">
        <v>203</v>
      </c>
      <c r="L47">
        <v>38700000</v>
      </c>
    </row>
    <row r="48" spans="1:12" x14ac:dyDescent="0.3">
      <c r="A48" t="s">
        <v>204</v>
      </c>
      <c r="B48" t="s">
        <v>204</v>
      </c>
      <c r="C48">
        <v>188724</v>
      </c>
      <c r="D48" t="s">
        <v>13</v>
      </c>
      <c r="F48">
        <v>220</v>
      </c>
      <c r="G48" s="1">
        <v>0.15277777777777779</v>
      </c>
      <c r="H48" t="b">
        <v>0</v>
      </c>
      <c r="I48" t="s">
        <v>205</v>
      </c>
      <c r="J48" t="s">
        <v>206</v>
      </c>
      <c r="K48" t="s">
        <v>207</v>
      </c>
      <c r="L48">
        <v>16100</v>
      </c>
    </row>
    <row r="49" spans="1:12" x14ac:dyDescent="0.3">
      <c r="A49" t="s">
        <v>208</v>
      </c>
      <c r="B49" t="s">
        <v>208</v>
      </c>
      <c r="C49">
        <v>108529744</v>
      </c>
      <c r="D49" t="s">
        <v>13</v>
      </c>
      <c r="E49" t="s">
        <v>209</v>
      </c>
      <c r="F49">
        <v>155</v>
      </c>
      <c r="G49" s="1">
        <v>0.1076388888888889</v>
      </c>
      <c r="H49" t="b">
        <v>0</v>
      </c>
      <c r="I49" t="s">
        <v>210</v>
      </c>
      <c r="J49" t="s">
        <v>197</v>
      </c>
      <c r="K49" t="s">
        <v>198</v>
      </c>
      <c r="L49">
        <v>27600000</v>
      </c>
    </row>
    <row r="50" spans="1:12" x14ac:dyDescent="0.3">
      <c r="A50" t="s">
        <v>211</v>
      </c>
      <c r="B50" t="s">
        <v>211</v>
      </c>
      <c r="C50">
        <v>39114736</v>
      </c>
      <c r="D50" t="s">
        <v>13</v>
      </c>
      <c r="E50" t="s">
        <v>212</v>
      </c>
      <c r="F50">
        <v>265</v>
      </c>
      <c r="G50" s="1">
        <v>0.18402777777777779</v>
      </c>
      <c r="H50" t="b">
        <v>0</v>
      </c>
      <c r="I50" t="s">
        <v>213</v>
      </c>
      <c r="J50" t="s">
        <v>214</v>
      </c>
      <c r="K50" t="s">
        <v>215</v>
      </c>
      <c r="L50">
        <v>31500000</v>
      </c>
    </row>
    <row r="51" spans="1:12" x14ac:dyDescent="0.3">
      <c r="A51" t="s">
        <v>216</v>
      </c>
      <c r="B51" t="s">
        <v>216</v>
      </c>
      <c r="C51">
        <v>40322577</v>
      </c>
      <c r="D51" t="s">
        <v>13</v>
      </c>
      <c r="E51" t="s">
        <v>217</v>
      </c>
      <c r="F51">
        <v>245</v>
      </c>
      <c r="G51" s="1">
        <v>0.1701388888888889</v>
      </c>
      <c r="H51" t="b">
        <v>0</v>
      </c>
      <c r="I51" t="s">
        <v>218</v>
      </c>
      <c r="J51" t="s">
        <v>202</v>
      </c>
      <c r="K51" t="s">
        <v>203</v>
      </c>
      <c r="L51">
        <v>38700000</v>
      </c>
    </row>
    <row r="52" spans="1:12" x14ac:dyDescent="0.3">
      <c r="A52" t="s">
        <v>219</v>
      </c>
      <c r="B52" t="s">
        <v>219</v>
      </c>
      <c r="C52">
        <v>34091789</v>
      </c>
      <c r="D52" t="s">
        <v>13</v>
      </c>
      <c r="E52" t="s">
        <v>220</v>
      </c>
      <c r="F52">
        <v>188</v>
      </c>
      <c r="G52" s="1">
        <v>0.13055555555555556</v>
      </c>
      <c r="H52" t="b">
        <v>0</v>
      </c>
      <c r="I52" t="s">
        <v>221</v>
      </c>
      <c r="J52" t="s">
        <v>222</v>
      </c>
      <c r="K52" t="s">
        <v>223</v>
      </c>
      <c r="L52">
        <v>6320000</v>
      </c>
    </row>
    <row r="53" spans="1:12" x14ac:dyDescent="0.3">
      <c r="A53" t="s">
        <v>224</v>
      </c>
      <c r="B53" t="s">
        <v>224</v>
      </c>
      <c r="C53">
        <v>3794711</v>
      </c>
      <c r="D53" t="s">
        <v>13</v>
      </c>
      <c r="E53" t="s">
        <v>225</v>
      </c>
      <c r="F53">
        <v>191</v>
      </c>
      <c r="G53" s="1">
        <v>0.13263888888888889</v>
      </c>
      <c r="H53" t="b">
        <v>0</v>
      </c>
      <c r="I53" t="s">
        <v>226</v>
      </c>
      <c r="J53" t="s">
        <v>227</v>
      </c>
      <c r="K53" t="s">
        <v>228</v>
      </c>
      <c r="L53">
        <v>3330000</v>
      </c>
    </row>
    <row r="54" spans="1:12" x14ac:dyDescent="0.3">
      <c r="A54" t="s">
        <v>229</v>
      </c>
      <c r="B54" t="s">
        <v>229</v>
      </c>
      <c r="C54">
        <v>85513596</v>
      </c>
      <c r="D54" t="s">
        <v>13</v>
      </c>
      <c r="E54" t="s">
        <v>230</v>
      </c>
      <c r="F54">
        <v>184</v>
      </c>
      <c r="G54" s="1">
        <v>0.12777777777777777</v>
      </c>
      <c r="H54" t="b">
        <v>0</v>
      </c>
      <c r="I54" t="s">
        <v>231</v>
      </c>
      <c r="J54" t="s">
        <v>232</v>
      </c>
      <c r="K54" t="s">
        <v>233</v>
      </c>
      <c r="L54">
        <v>5360000</v>
      </c>
    </row>
    <row r="55" spans="1:12" x14ac:dyDescent="0.3">
      <c r="A55" t="s">
        <v>234</v>
      </c>
      <c r="B55" t="s">
        <v>234</v>
      </c>
      <c r="C55">
        <v>36141339</v>
      </c>
      <c r="D55" t="s">
        <v>13</v>
      </c>
      <c r="E55" t="s">
        <v>235</v>
      </c>
      <c r="F55">
        <v>147</v>
      </c>
      <c r="G55" s="1">
        <v>0.10208333333333333</v>
      </c>
      <c r="H55" t="b">
        <v>0</v>
      </c>
      <c r="I55" t="s">
        <v>236</v>
      </c>
      <c r="J55" t="s">
        <v>222</v>
      </c>
      <c r="K55" t="s">
        <v>237</v>
      </c>
      <c r="L55">
        <v>6320000</v>
      </c>
    </row>
    <row r="56" spans="1:12" x14ac:dyDescent="0.3">
      <c r="A56" t="s">
        <v>238</v>
      </c>
      <c r="B56" t="s">
        <v>238</v>
      </c>
      <c r="C56">
        <v>79002814</v>
      </c>
      <c r="D56" t="s">
        <v>13</v>
      </c>
      <c r="E56" t="s">
        <v>239</v>
      </c>
      <c r="F56">
        <v>161</v>
      </c>
      <c r="G56" s="1">
        <v>0.11180555555555556</v>
      </c>
      <c r="H56" t="b">
        <v>0</v>
      </c>
      <c r="I56" t="s">
        <v>240</v>
      </c>
      <c r="J56" t="s">
        <v>241</v>
      </c>
      <c r="K56" t="s">
        <v>242</v>
      </c>
      <c r="L56">
        <v>3900000</v>
      </c>
    </row>
    <row r="57" spans="1:12" x14ac:dyDescent="0.3">
      <c r="A57" t="s">
        <v>243</v>
      </c>
      <c r="B57" t="s">
        <v>243</v>
      </c>
      <c r="C57">
        <v>52725607</v>
      </c>
      <c r="D57" t="s">
        <v>49</v>
      </c>
      <c r="E57" t="s">
        <v>244</v>
      </c>
      <c r="F57">
        <v>188</v>
      </c>
      <c r="G57" s="1">
        <v>0.13055555555555556</v>
      </c>
      <c r="H57" t="b">
        <v>0</v>
      </c>
      <c r="I57" t="s">
        <v>245</v>
      </c>
      <c r="J57" t="s">
        <v>62</v>
      </c>
      <c r="K57" t="s">
        <v>63</v>
      </c>
      <c r="L57">
        <v>4050000</v>
      </c>
    </row>
    <row r="58" spans="1:12" x14ac:dyDescent="0.3">
      <c r="A58" t="s">
        <v>246</v>
      </c>
      <c r="B58" t="s">
        <v>246</v>
      </c>
      <c r="C58">
        <v>125528</v>
      </c>
      <c r="D58" t="s">
        <v>13</v>
      </c>
      <c r="E58" t="s">
        <v>247</v>
      </c>
      <c r="F58">
        <v>182</v>
      </c>
      <c r="G58" s="1">
        <v>0.12638888888888888</v>
      </c>
      <c r="H58" t="b">
        <v>0</v>
      </c>
      <c r="I58" t="s">
        <v>248</v>
      </c>
      <c r="J58" t="s">
        <v>249</v>
      </c>
      <c r="K58" t="s">
        <v>250</v>
      </c>
      <c r="L58">
        <v>297000</v>
      </c>
    </row>
    <row r="59" spans="1:12" x14ac:dyDescent="0.3">
      <c r="A59" t="s">
        <v>251</v>
      </c>
      <c r="B59" t="s">
        <v>251</v>
      </c>
      <c r="C59">
        <v>29890943</v>
      </c>
      <c r="D59" t="s">
        <v>13</v>
      </c>
      <c r="E59" t="s">
        <v>252</v>
      </c>
      <c r="F59">
        <v>171</v>
      </c>
      <c r="G59" s="1">
        <v>0.11874999999999999</v>
      </c>
      <c r="H59" t="b">
        <v>0</v>
      </c>
      <c r="I59" t="s">
        <v>253</v>
      </c>
      <c r="J59" t="s">
        <v>254</v>
      </c>
      <c r="K59" t="s">
        <v>255</v>
      </c>
      <c r="L59">
        <v>37800000</v>
      </c>
    </row>
    <row r="60" spans="1:12" x14ac:dyDescent="0.3">
      <c r="A60" t="s">
        <v>256</v>
      </c>
      <c r="B60" t="s">
        <v>256</v>
      </c>
      <c r="C60">
        <v>30313088</v>
      </c>
      <c r="D60" t="s">
        <v>13</v>
      </c>
      <c r="E60" t="s">
        <v>257</v>
      </c>
      <c r="F60">
        <v>194</v>
      </c>
      <c r="G60" s="1">
        <v>0.13472222222222222</v>
      </c>
      <c r="H60" t="b">
        <v>0</v>
      </c>
      <c r="I60" t="s">
        <v>258</v>
      </c>
      <c r="J60" t="s">
        <v>259</v>
      </c>
      <c r="K60" t="s">
        <v>260</v>
      </c>
      <c r="L60">
        <v>2680000</v>
      </c>
    </row>
    <row r="61" spans="1:12" x14ac:dyDescent="0.3">
      <c r="A61" t="s">
        <v>261</v>
      </c>
      <c r="B61" t="s">
        <v>261</v>
      </c>
      <c r="C61">
        <v>30192542</v>
      </c>
      <c r="D61" t="s">
        <v>13</v>
      </c>
      <c r="E61" t="s">
        <v>262</v>
      </c>
      <c r="F61">
        <v>166</v>
      </c>
      <c r="G61" s="1">
        <v>0.11527777777777778</v>
      </c>
      <c r="H61" t="b">
        <v>0</v>
      </c>
      <c r="I61" t="s">
        <v>263</v>
      </c>
      <c r="J61" t="s">
        <v>232</v>
      </c>
      <c r="K61" t="s">
        <v>233</v>
      </c>
      <c r="L61">
        <v>5360000</v>
      </c>
    </row>
    <row r="62" spans="1:12" x14ac:dyDescent="0.3">
      <c r="A62" t="s">
        <v>264</v>
      </c>
      <c r="B62" t="s">
        <v>264</v>
      </c>
      <c r="C62">
        <v>30012095</v>
      </c>
      <c r="D62" t="s">
        <v>13</v>
      </c>
      <c r="E62" t="s">
        <v>265</v>
      </c>
      <c r="F62">
        <v>235</v>
      </c>
      <c r="G62" s="1">
        <v>0.16319444444444445</v>
      </c>
      <c r="H62" t="b">
        <v>0</v>
      </c>
      <c r="I62" t="s">
        <v>266</v>
      </c>
      <c r="J62" t="s">
        <v>222</v>
      </c>
      <c r="K62" t="s">
        <v>223</v>
      </c>
      <c r="L62">
        <v>6320000</v>
      </c>
    </row>
    <row r="63" spans="1:12" x14ac:dyDescent="0.3">
      <c r="A63" t="s">
        <v>267</v>
      </c>
      <c r="B63" t="s">
        <v>267</v>
      </c>
      <c r="C63">
        <v>158325692</v>
      </c>
      <c r="D63" t="s">
        <v>13</v>
      </c>
      <c r="E63" t="s">
        <v>268</v>
      </c>
      <c r="F63">
        <v>249</v>
      </c>
      <c r="G63" s="1">
        <v>0.17291666666666666</v>
      </c>
      <c r="H63" t="b">
        <v>0</v>
      </c>
      <c r="I63" t="s">
        <v>269</v>
      </c>
      <c r="J63" t="s">
        <v>270</v>
      </c>
      <c r="K63" t="s">
        <v>271</v>
      </c>
      <c r="L63">
        <v>61500000</v>
      </c>
    </row>
    <row r="64" spans="1:12" x14ac:dyDescent="0.3">
      <c r="A64" t="s">
        <v>272</v>
      </c>
      <c r="B64" t="s">
        <v>272</v>
      </c>
      <c r="C64">
        <v>899024</v>
      </c>
      <c r="D64" t="s">
        <v>13</v>
      </c>
      <c r="E64" t="s">
        <v>273</v>
      </c>
      <c r="F64">
        <v>158</v>
      </c>
      <c r="G64" s="1">
        <v>0.10972222222222222</v>
      </c>
      <c r="H64" t="b">
        <v>0</v>
      </c>
      <c r="I64" t="s">
        <v>274</v>
      </c>
      <c r="J64" t="s">
        <v>275</v>
      </c>
      <c r="K64" t="s">
        <v>276</v>
      </c>
      <c r="L64">
        <v>6100</v>
      </c>
    </row>
    <row r="65" spans="1:12" x14ac:dyDescent="0.3">
      <c r="A65" t="s">
        <v>277</v>
      </c>
      <c r="B65" t="s">
        <v>277</v>
      </c>
      <c r="C65">
        <v>37464367</v>
      </c>
      <c r="D65" t="s">
        <v>13</v>
      </c>
      <c r="E65" t="s">
        <v>278</v>
      </c>
      <c r="F65">
        <v>154</v>
      </c>
      <c r="G65" s="1">
        <v>0.10694444444444444</v>
      </c>
      <c r="H65" t="b">
        <v>0</v>
      </c>
      <c r="I65" t="s">
        <v>279</v>
      </c>
      <c r="J65" t="s">
        <v>280</v>
      </c>
      <c r="K65" t="s">
        <v>281</v>
      </c>
      <c r="L65">
        <v>2220000</v>
      </c>
    </row>
    <row r="66" spans="1:12" x14ac:dyDescent="0.3">
      <c r="A66" t="s">
        <v>282</v>
      </c>
      <c r="B66" t="s">
        <v>282</v>
      </c>
      <c r="C66">
        <v>38500113</v>
      </c>
      <c r="D66" t="s">
        <v>13</v>
      </c>
      <c r="E66" t="s">
        <v>283</v>
      </c>
      <c r="F66">
        <v>253</v>
      </c>
      <c r="G66" s="1">
        <v>0.17569444444444443</v>
      </c>
      <c r="H66" t="b">
        <v>0</v>
      </c>
      <c r="I66" t="s">
        <v>284</v>
      </c>
      <c r="J66" t="s">
        <v>285</v>
      </c>
      <c r="K66" t="s">
        <v>286</v>
      </c>
      <c r="L66">
        <v>514000</v>
      </c>
    </row>
    <row r="67" spans="1:12" x14ac:dyDescent="0.3">
      <c r="A67" t="s">
        <v>287</v>
      </c>
      <c r="B67" t="s">
        <v>287</v>
      </c>
      <c r="C67">
        <v>4637</v>
      </c>
      <c r="D67" t="s">
        <v>13</v>
      </c>
      <c r="E67" t="s">
        <v>288</v>
      </c>
      <c r="F67">
        <v>175</v>
      </c>
      <c r="G67" s="1">
        <v>0.12152777777777778</v>
      </c>
      <c r="H67" t="b">
        <v>0</v>
      </c>
      <c r="I67" t="s">
        <v>289</v>
      </c>
      <c r="J67" t="s">
        <v>290</v>
      </c>
      <c r="K67" t="s">
        <v>291</v>
      </c>
      <c r="L67">
        <v>605000</v>
      </c>
    </row>
    <row r="68" spans="1:12" x14ac:dyDescent="0.3">
      <c r="A68" t="s">
        <v>292</v>
      </c>
      <c r="B68" t="s">
        <v>292</v>
      </c>
      <c r="C68">
        <v>33919328</v>
      </c>
      <c r="D68" t="s">
        <v>13</v>
      </c>
      <c r="E68" t="s">
        <v>293</v>
      </c>
      <c r="F68">
        <v>211</v>
      </c>
      <c r="G68" s="1">
        <v>0.14652777777777778</v>
      </c>
      <c r="H68" t="b">
        <v>0</v>
      </c>
      <c r="I68" t="s">
        <v>294</v>
      </c>
      <c r="J68" t="s">
        <v>100</v>
      </c>
      <c r="K68" t="s">
        <v>101</v>
      </c>
      <c r="L68">
        <v>16100000</v>
      </c>
    </row>
    <row r="69" spans="1:12" x14ac:dyDescent="0.3">
      <c r="A69" t="s">
        <v>295</v>
      </c>
      <c r="B69" t="s">
        <v>295</v>
      </c>
      <c r="C69">
        <v>37164</v>
      </c>
      <c r="D69" t="s">
        <v>13</v>
      </c>
      <c r="E69" t="s">
        <v>296</v>
      </c>
      <c r="F69">
        <v>229</v>
      </c>
      <c r="G69" s="1">
        <v>0.15902777777777777</v>
      </c>
      <c r="H69" t="b">
        <v>0</v>
      </c>
      <c r="I69" t="s">
        <v>297</v>
      </c>
      <c r="J69" t="s">
        <v>298</v>
      </c>
      <c r="K69" t="s">
        <v>299</v>
      </c>
      <c r="L69">
        <v>43</v>
      </c>
    </row>
    <row r="70" spans="1:12" x14ac:dyDescent="0.3">
      <c r="A70" t="s">
        <v>300</v>
      </c>
      <c r="B70" t="s">
        <v>300</v>
      </c>
      <c r="C70">
        <v>29225841</v>
      </c>
      <c r="D70" t="s">
        <v>13</v>
      </c>
      <c r="E70" t="s">
        <v>301</v>
      </c>
      <c r="F70">
        <v>252</v>
      </c>
      <c r="G70" s="1">
        <v>0.17499999999999999</v>
      </c>
      <c r="H70" t="b">
        <v>0</v>
      </c>
      <c r="I70" t="s">
        <v>302</v>
      </c>
      <c r="J70" t="s">
        <v>303</v>
      </c>
      <c r="K70" t="s">
        <v>304</v>
      </c>
      <c r="L70">
        <v>19900000</v>
      </c>
    </row>
    <row r="71" spans="1:12" x14ac:dyDescent="0.3">
      <c r="A71" t="s">
        <v>305</v>
      </c>
      <c r="B71" t="s">
        <v>305</v>
      </c>
      <c r="C71">
        <v>25353734</v>
      </c>
      <c r="D71" t="s">
        <v>13</v>
      </c>
      <c r="E71" t="s">
        <v>306</v>
      </c>
      <c r="F71">
        <v>219</v>
      </c>
      <c r="G71" s="1">
        <v>0.15208333333333332</v>
      </c>
      <c r="H71" t="b">
        <v>0</v>
      </c>
      <c r="I71" t="s">
        <v>307</v>
      </c>
      <c r="J71" t="s">
        <v>308</v>
      </c>
      <c r="K71" t="s">
        <v>309</v>
      </c>
      <c r="L71">
        <v>203000</v>
      </c>
    </row>
    <row r="72" spans="1:12" x14ac:dyDescent="0.3">
      <c r="A72" t="s">
        <v>310</v>
      </c>
      <c r="B72" t="s">
        <v>310</v>
      </c>
      <c r="C72">
        <v>55388007</v>
      </c>
      <c r="D72" t="s">
        <v>13</v>
      </c>
      <c r="E72" t="s">
        <v>311</v>
      </c>
      <c r="F72">
        <v>182</v>
      </c>
      <c r="G72" s="1">
        <v>0.12638888888888888</v>
      </c>
      <c r="H72" t="b">
        <v>0</v>
      </c>
      <c r="I72" t="s">
        <v>312</v>
      </c>
      <c r="J72" t="s">
        <v>222</v>
      </c>
      <c r="K72" t="s">
        <v>223</v>
      </c>
      <c r="L72">
        <v>6320000</v>
      </c>
    </row>
    <row r="73" spans="1:12" x14ac:dyDescent="0.3">
      <c r="A73" t="s">
        <v>313</v>
      </c>
      <c r="B73" t="s">
        <v>313</v>
      </c>
      <c r="C73">
        <v>32203892</v>
      </c>
      <c r="D73" t="s">
        <v>13</v>
      </c>
      <c r="E73" t="s">
        <v>314</v>
      </c>
      <c r="F73">
        <v>207</v>
      </c>
      <c r="G73" s="1">
        <v>0.14374999999999999</v>
      </c>
      <c r="H73" t="b">
        <v>0</v>
      </c>
      <c r="I73" t="s">
        <v>315</v>
      </c>
      <c r="J73" t="s">
        <v>154</v>
      </c>
      <c r="K73" t="s">
        <v>316</v>
      </c>
      <c r="L73">
        <v>391000</v>
      </c>
    </row>
    <row r="74" spans="1:12" x14ac:dyDescent="0.3">
      <c r="A74" t="s">
        <v>317</v>
      </c>
      <c r="B74" t="s">
        <v>317</v>
      </c>
      <c r="C74">
        <v>667846</v>
      </c>
      <c r="D74" t="s">
        <v>13</v>
      </c>
      <c r="E74" t="s">
        <v>318</v>
      </c>
      <c r="F74">
        <v>120</v>
      </c>
      <c r="G74" s="1">
        <v>8.3333333333333329E-2</v>
      </c>
      <c r="H74" t="b">
        <v>0</v>
      </c>
      <c r="I74" t="s">
        <v>319</v>
      </c>
      <c r="J74" t="s">
        <v>320</v>
      </c>
      <c r="K74" t="s">
        <v>321</v>
      </c>
      <c r="L74">
        <v>23900</v>
      </c>
    </row>
    <row r="75" spans="1:12" x14ac:dyDescent="0.3">
      <c r="A75" t="s">
        <v>322</v>
      </c>
      <c r="B75" t="s">
        <v>322</v>
      </c>
      <c r="C75">
        <v>46125355</v>
      </c>
      <c r="D75" t="s">
        <v>13</v>
      </c>
      <c r="E75" t="s">
        <v>323</v>
      </c>
      <c r="F75">
        <v>261</v>
      </c>
      <c r="G75" s="1">
        <v>0.18124999999999999</v>
      </c>
      <c r="H75" t="b">
        <v>0</v>
      </c>
      <c r="I75" t="s">
        <v>324</v>
      </c>
      <c r="J75" t="s">
        <v>21</v>
      </c>
      <c r="K75" t="s">
        <v>22</v>
      </c>
      <c r="L75">
        <v>29600000</v>
      </c>
    </row>
    <row r="76" spans="1:12" x14ac:dyDescent="0.3">
      <c r="A76" t="s">
        <v>325</v>
      </c>
      <c r="B76" t="s">
        <v>325</v>
      </c>
      <c r="C76">
        <v>111453988</v>
      </c>
      <c r="D76" t="s">
        <v>13</v>
      </c>
      <c r="E76" t="s">
        <v>326</v>
      </c>
      <c r="F76">
        <v>158</v>
      </c>
      <c r="G76" s="1">
        <v>0.10972222222222222</v>
      </c>
      <c r="H76" t="b">
        <v>0</v>
      </c>
      <c r="I76" t="s">
        <v>327</v>
      </c>
      <c r="J76" t="s">
        <v>328</v>
      </c>
      <c r="K76" t="s">
        <v>329</v>
      </c>
      <c r="L76">
        <v>5070000</v>
      </c>
    </row>
    <row r="77" spans="1:12" x14ac:dyDescent="0.3">
      <c r="A77" t="s">
        <v>330</v>
      </c>
      <c r="B77" t="s">
        <v>330</v>
      </c>
      <c r="C77">
        <v>46253970</v>
      </c>
      <c r="D77" t="s">
        <v>13</v>
      </c>
      <c r="F77">
        <v>240</v>
      </c>
      <c r="G77" s="1">
        <v>0.16666666666666666</v>
      </c>
      <c r="H77" t="b">
        <v>0</v>
      </c>
      <c r="I77" t="s">
        <v>331</v>
      </c>
      <c r="J77" t="s">
        <v>332</v>
      </c>
      <c r="K77" t="s">
        <v>333</v>
      </c>
      <c r="L77">
        <v>28100000</v>
      </c>
    </row>
    <row r="78" spans="1:12" x14ac:dyDescent="0.3">
      <c r="A78" t="s">
        <v>334</v>
      </c>
      <c r="B78" t="s">
        <v>334</v>
      </c>
      <c r="C78">
        <v>208325690</v>
      </c>
      <c r="D78" t="s">
        <v>13</v>
      </c>
      <c r="E78" t="s">
        <v>335</v>
      </c>
      <c r="F78">
        <v>147</v>
      </c>
      <c r="G78" s="1">
        <v>0.10208333333333333</v>
      </c>
      <c r="H78" t="b">
        <v>0</v>
      </c>
      <c r="I78" t="s">
        <v>336</v>
      </c>
      <c r="J78" t="s">
        <v>100</v>
      </c>
      <c r="K78" t="s">
        <v>101</v>
      </c>
      <c r="L78">
        <v>16100000</v>
      </c>
    </row>
    <row r="79" spans="1:12" x14ac:dyDescent="0.3">
      <c r="A79" t="s">
        <v>337</v>
      </c>
      <c r="B79" t="s">
        <v>337</v>
      </c>
      <c r="C79">
        <v>23070337</v>
      </c>
      <c r="D79" t="s">
        <v>13</v>
      </c>
      <c r="E79" t="s">
        <v>217</v>
      </c>
      <c r="F79">
        <v>320</v>
      </c>
      <c r="G79" s="1">
        <v>0.22222222222222221</v>
      </c>
      <c r="H79" t="b">
        <v>0</v>
      </c>
      <c r="I79" t="s">
        <v>338</v>
      </c>
      <c r="J79" t="s">
        <v>202</v>
      </c>
      <c r="K79" t="s">
        <v>203</v>
      </c>
      <c r="L79">
        <v>38700000</v>
      </c>
    </row>
    <row r="80" spans="1:12" x14ac:dyDescent="0.3">
      <c r="A80" t="s">
        <v>339</v>
      </c>
      <c r="B80" t="s">
        <v>339</v>
      </c>
      <c r="C80">
        <v>6174</v>
      </c>
      <c r="D80" t="s">
        <v>13</v>
      </c>
      <c r="E80" t="s">
        <v>340</v>
      </c>
      <c r="F80">
        <v>169</v>
      </c>
      <c r="G80" s="1">
        <v>0.11736111111111111</v>
      </c>
      <c r="H80" t="b">
        <v>0</v>
      </c>
      <c r="I80" t="s">
        <v>341</v>
      </c>
      <c r="J80" t="s">
        <v>342</v>
      </c>
      <c r="K80" t="s">
        <v>343</v>
      </c>
      <c r="L80">
        <v>1200</v>
      </c>
    </row>
    <row r="81" spans="1:12" x14ac:dyDescent="0.3">
      <c r="A81" t="s">
        <v>344</v>
      </c>
      <c r="B81" t="s">
        <v>344</v>
      </c>
      <c r="C81">
        <v>30301956</v>
      </c>
      <c r="D81" t="s">
        <v>13</v>
      </c>
      <c r="E81" t="s">
        <v>345</v>
      </c>
      <c r="F81">
        <v>167</v>
      </c>
      <c r="G81" s="1">
        <v>0.11597222222222223</v>
      </c>
      <c r="H81" t="b">
        <v>0</v>
      </c>
      <c r="I81" t="s">
        <v>346</v>
      </c>
      <c r="J81" t="s">
        <v>347</v>
      </c>
      <c r="K81" t="s">
        <v>348</v>
      </c>
      <c r="L81">
        <v>32900000</v>
      </c>
    </row>
    <row r="82" spans="1:12" x14ac:dyDescent="0.3">
      <c r="A82" t="s">
        <v>349</v>
      </c>
      <c r="B82" t="s">
        <v>349</v>
      </c>
      <c r="C82">
        <v>24709753</v>
      </c>
      <c r="D82" t="s">
        <v>13</v>
      </c>
      <c r="E82" t="s">
        <v>350</v>
      </c>
      <c r="F82">
        <v>176</v>
      </c>
      <c r="G82" s="1">
        <v>0.12222222222222222</v>
      </c>
      <c r="H82" t="b">
        <v>0</v>
      </c>
      <c r="I82" t="s">
        <v>351</v>
      </c>
      <c r="J82" t="s">
        <v>352</v>
      </c>
      <c r="K82" t="s">
        <v>353</v>
      </c>
      <c r="L82">
        <v>76200000</v>
      </c>
    </row>
    <row r="83" spans="1:12" x14ac:dyDescent="0.3">
      <c r="A83" t="s">
        <v>354</v>
      </c>
      <c r="B83" t="s">
        <v>354</v>
      </c>
      <c r="C83">
        <v>44470482</v>
      </c>
      <c r="D83" t="s">
        <v>13</v>
      </c>
      <c r="E83" t="s">
        <v>36</v>
      </c>
      <c r="F83">
        <v>172</v>
      </c>
      <c r="G83" s="1">
        <v>0.11944444444444445</v>
      </c>
      <c r="H83" t="b">
        <v>0</v>
      </c>
      <c r="I83" t="s">
        <v>355</v>
      </c>
      <c r="J83" t="s">
        <v>38</v>
      </c>
      <c r="K83" t="s">
        <v>39</v>
      </c>
      <c r="L83">
        <v>12300000</v>
      </c>
    </row>
    <row r="84" spans="1:12" x14ac:dyDescent="0.3">
      <c r="A84" t="s">
        <v>356</v>
      </c>
      <c r="B84" t="s">
        <v>356</v>
      </c>
      <c r="C84">
        <v>80373280</v>
      </c>
      <c r="D84" t="s">
        <v>13</v>
      </c>
      <c r="E84" t="s">
        <v>357</v>
      </c>
      <c r="F84">
        <v>187</v>
      </c>
      <c r="G84" s="1">
        <v>0.12986111111111112</v>
      </c>
      <c r="H84" t="b">
        <v>0</v>
      </c>
      <c r="I84" t="s">
        <v>358</v>
      </c>
      <c r="J84" t="s">
        <v>359</v>
      </c>
      <c r="K84" t="s">
        <v>360</v>
      </c>
      <c r="L84">
        <v>24400000</v>
      </c>
    </row>
    <row r="85" spans="1:12" x14ac:dyDescent="0.3">
      <c r="A85" t="s">
        <v>361</v>
      </c>
      <c r="B85" t="s">
        <v>361</v>
      </c>
      <c r="C85">
        <v>20923612</v>
      </c>
      <c r="D85" t="s">
        <v>13</v>
      </c>
      <c r="E85" t="s">
        <v>362</v>
      </c>
      <c r="F85">
        <v>187</v>
      </c>
      <c r="G85" s="1">
        <v>0.12986111111111112</v>
      </c>
      <c r="H85" t="b">
        <v>0</v>
      </c>
      <c r="I85" t="s">
        <v>363</v>
      </c>
      <c r="J85" t="s">
        <v>38</v>
      </c>
      <c r="K85" t="s">
        <v>39</v>
      </c>
      <c r="L85">
        <v>12300000</v>
      </c>
    </row>
    <row r="86" spans="1:12" x14ac:dyDescent="0.3">
      <c r="A86" t="s">
        <v>364</v>
      </c>
      <c r="B86" t="s">
        <v>364</v>
      </c>
      <c r="C86">
        <v>35211939</v>
      </c>
      <c r="D86" t="s">
        <v>13</v>
      </c>
      <c r="E86" t="s">
        <v>365</v>
      </c>
      <c r="F86">
        <v>180</v>
      </c>
      <c r="G86" s="1">
        <v>0.125</v>
      </c>
      <c r="H86" t="b">
        <v>0</v>
      </c>
      <c r="I86" t="s">
        <v>366</v>
      </c>
      <c r="J86" t="s">
        <v>367</v>
      </c>
      <c r="K86" t="s">
        <v>368</v>
      </c>
      <c r="L86">
        <v>4350000</v>
      </c>
    </row>
    <row r="87" spans="1:12" x14ac:dyDescent="0.3">
      <c r="A87" t="s">
        <v>369</v>
      </c>
      <c r="B87" t="s">
        <v>369</v>
      </c>
      <c r="C87">
        <v>1161</v>
      </c>
      <c r="D87" t="s">
        <v>13</v>
      </c>
      <c r="E87" t="s">
        <v>370</v>
      </c>
      <c r="F87">
        <v>184</v>
      </c>
      <c r="G87" s="1">
        <v>0.12777777777777777</v>
      </c>
      <c r="H87" t="b">
        <v>0</v>
      </c>
      <c r="I87" t="s">
        <v>371</v>
      </c>
      <c r="J87" t="s">
        <v>372</v>
      </c>
      <c r="K87" t="s">
        <v>373</v>
      </c>
      <c r="L87">
        <v>1</v>
      </c>
    </row>
    <row r="88" spans="1:12" x14ac:dyDescent="0.3">
      <c r="A88" t="s">
        <v>374</v>
      </c>
      <c r="B88" t="s">
        <v>374</v>
      </c>
      <c r="C88">
        <v>34725855</v>
      </c>
      <c r="D88" t="s">
        <v>13</v>
      </c>
      <c r="E88" t="s">
        <v>36</v>
      </c>
      <c r="F88">
        <v>223</v>
      </c>
      <c r="G88" s="1">
        <v>0.15486111111111112</v>
      </c>
      <c r="H88" t="b">
        <v>0</v>
      </c>
      <c r="I88" t="s">
        <v>375</v>
      </c>
      <c r="J88" t="s">
        <v>38</v>
      </c>
      <c r="K88" t="s">
        <v>39</v>
      </c>
      <c r="L88">
        <v>12300000</v>
      </c>
    </row>
    <row r="89" spans="1:12" x14ac:dyDescent="0.3">
      <c r="A89" t="s">
        <v>376</v>
      </c>
      <c r="B89" t="s">
        <v>376</v>
      </c>
      <c r="C89">
        <v>18154200</v>
      </c>
      <c r="D89" t="s">
        <v>13</v>
      </c>
      <c r="F89">
        <v>157</v>
      </c>
      <c r="G89" s="1">
        <v>0.10902777777777778</v>
      </c>
      <c r="H89" t="b">
        <v>0</v>
      </c>
      <c r="I89" t="s">
        <v>377</v>
      </c>
      <c r="J89" t="s">
        <v>197</v>
      </c>
      <c r="K89" t="s">
        <v>198</v>
      </c>
      <c r="L89">
        <v>27600000</v>
      </c>
    </row>
    <row r="90" spans="1:12" x14ac:dyDescent="0.3">
      <c r="A90" t="s">
        <v>378</v>
      </c>
      <c r="B90" t="s">
        <v>378</v>
      </c>
      <c r="C90">
        <v>26261465</v>
      </c>
      <c r="D90" t="s">
        <v>13</v>
      </c>
      <c r="E90" t="s">
        <v>379</v>
      </c>
      <c r="F90">
        <v>204</v>
      </c>
      <c r="G90" s="1">
        <v>0.14166666666666666</v>
      </c>
      <c r="H90" t="b">
        <v>0</v>
      </c>
      <c r="I90" t="s">
        <v>380</v>
      </c>
      <c r="J90" t="s">
        <v>381</v>
      </c>
      <c r="K90" t="s">
        <v>382</v>
      </c>
      <c r="L90">
        <v>1900000</v>
      </c>
    </row>
    <row r="91" spans="1:12" x14ac:dyDescent="0.3">
      <c r="A91" t="s">
        <v>383</v>
      </c>
      <c r="B91" t="s">
        <v>383</v>
      </c>
      <c r="C91">
        <v>7826393</v>
      </c>
      <c r="D91" t="s">
        <v>13</v>
      </c>
      <c r="E91" t="s">
        <v>384</v>
      </c>
      <c r="F91">
        <v>195</v>
      </c>
      <c r="G91" s="1">
        <v>0.13541666666666666</v>
      </c>
      <c r="H91" t="b">
        <v>0</v>
      </c>
      <c r="I91" t="s">
        <v>385</v>
      </c>
      <c r="J91" t="s">
        <v>328</v>
      </c>
      <c r="K91" t="s">
        <v>329</v>
      </c>
      <c r="L91">
        <v>5070000</v>
      </c>
    </row>
    <row r="92" spans="1:12" x14ac:dyDescent="0.3">
      <c r="A92" t="s">
        <v>386</v>
      </c>
      <c r="B92" t="s">
        <v>386</v>
      </c>
      <c r="C92">
        <v>19166284</v>
      </c>
      <c r="D92" t="s">
        <v>13</v>
      </c>
      <c r="E92" t="s">
        <v>387</v>
      </c>
      <c r="F92">
        <v>161</v>
      </c>
      <c r="G92" s="1">
        <v>0.11180555555555556</v>
      </c>
      <c r="H92" t="b">
        <v>0</v>
      </c>
      <c r="I92" t="s">
        <v>388</v>
      </c>
      <c r="J92" t="s">
        <v>389</v>
      </c>
      <c r="K92" t="s">
        <v>390</v>
      </c>
      <c r="L92">
        <v>56400000</v>
      </c>
    </row>
    <row r="93" spans="1:12" x14ac:dyDescent="0.3">
      <c r="A93" t="s">
        <v>391</v>
      </c>
      <c r="B93" t="s">
        <v>391</v>
      </c>
      <c r="C93">
        <v>8687</v>
      </c>
      <c r="D93" t="s">
        <v>13</v>
      </c>
      <c r="F93">
        <v>194</v>
      </c>
      <c r="G93" s="1">
        <v>0.13472222222222222</v>
      </c>
      <c r="H93" t="b">
        <v>0</v>
      </c>
      <c r="I93" t="s">
        <v>392</v>
      </c>
      <c r="J93" t="s">
        <v>393</v>
      </c>
      <c r="K93" t="s">
        <v>394</v>
      </c>
      <c r="L93">
        <v>2120</v>
      </c>
    </row>
    <row r="94" spans="1:12" x14ac:dyDescent="0.3">
      <c r="A94" t="s">
        <v>395</v>
      </c>
      <c r="B94" t="s">
        <v>395</v>
      </c>
      <c r="C94">
        <v>46131082</v>
      </c>
      <c r="D94" t="s">
        <v>13</v>
      </c>
      <c r="E94" t="s">
        <v>396</v>
      </c>
      <c r="F94">
        <v>259</v>
      </c>
      <c r="G94" s="1">
        <v>0.17986111111111111</v>
      </c>
      <c r="H94" t="b">
        <v>0</v>
      </c>
      <c r="I94" t="s">
        <v>397</v>
      </c>
      <c r="J94" t="s">
        <v>270</v>
      </c>
      <c r="K94" t="s">
        <v>271</v>
      </c>
      <c r="L94">
        <v>61500000</v>
      </c>
    </row>
    <row r="95" spans="1:12" x14ac:dyDescent="0.3">
      <c r="A95" t="s">
        <v>398</v>
      </c>
      <c r="B95" t="s">
        <v>398</v>
      </c>
      <c r="C95">
        <v>18620923</v>
      </c>
      <c r="D95" t="s">
        <v>13</v>
      </c>
      <c r="E95" t="s">
        <v>399</v>
      </c>
      <c r="F95">
        <v>175</v>
      </c>
      <c r="G95" s="1">
        <v>0.12152777777777778</v>
      </c>
      <c r="H95" t="b">
        <v>0</v>
      </c>
      <c r="I95" t="s">
        <v>400</v>
      </c>
      <c r="J95" t="s">
        <v>401</v>
      </c>
      <c r="K95" t="s">
        <v>402</v>
      </c>
      <c r="L95">
        <v>35500000</v>
      </c>
    </row>
    <row r="96" spans="1:12" x14ac:dyDescent="0.3">
      <c r="A96" t="s">
        <v>403</v>
      </c>
      <c r="B96" t="s">
        <v>403</v>
      </c>
      <c r="C96">
        <v>21968615</v>
      </c>
      <c r="D96" t="s">
        <v>13</v>
      </c>
      <c r="E96" t="s">
        <v>404</v>
      </c>
      <c r="F96">
        <v>183</v>
      </c>
      <c r="G96" s="1">
        <v>0.12708333333333333</v>
      </c>
      <c r="H96" t="b">
        <v>0</v>
      </c>
      <c r="I96" t="s">
        <v>405</v>
      </c>
      <c r="J96" t="s">
        <v>352</v>
      </c>
      <c r="K96" t="s">
        <v>406</v>
      </c>
      <c r="L96">
        <v>76200000</v>
      </c>
    </row>
    <row r="97" spans="1:12" x14ac:dyDescent="0.3">
      <c r="A97" t="s">
        <v>407</v>
      </c>
      <c r="B97" t="s">
        <v>407</v>
      </c>
      <c r="C97">
        <v>18245315</v>
      </c>
      <c r="D97" t="s">
        <v>13</v>
      </c>
      <c r="E97" t="s">
        <v>387</v>
      </c>
      <c r="F97">
        <v>202</v>
      </c>
      <c r="G97" s="1">
        <v>0.14027777777777778</v>
      </c>
      <c r="H97" t="b">
        <v>0</v>
      </c>
      <c r="I97" t="s">
        <v>408</v>
      </c>
      <c r="J97" t="s">
        <v>389</v>
      </c>
      <c r="K97" t="s">
        <v>390</v>
      </c>
      <c r="L97">
        <v>56400000</v>
      </c>
    </row>
    <row r="98" spans="1:12" x14ac:dyDescent="0.3">
      <c r="A98" t="s">
        <v>409</v>
      </c>
      <c r="B98" t="s">
        <v>409</v>
      </c>
      <c r="C98">
        <v>31456772</v>
      </c>
      <c r="D98" t="s">
        <v>13</v>
      </c>
      <c r="E98" t="s">
        <v>410</v>
      </c>
      <c r="F98">
        <v>234</v>
      </c>
      <c r="G98" s="1">
        <v>0.16250000000000001</v>
      </c>
      <c r="H98" t="b">
        <v>0</v>
      </c>
      <c r="I98" t="s">
        <v>411</v>
      </c>
      <c r="J98" t="s">
        <v>141</v>
      </c>
      <c r="K98" t="s">
        <v>142</v>
      </c>
      <c r="L98">
        <v>1770000</v>
      </c>
    </row>
    <row r="99" spans="1:12" x14ac:dyDescent="0.3">
      <c r="A99" t="s">
        <v>412</v>
      </c>
      <c r="B99" t="s">
        <v>412</v>
      </c>
      <c r="C99">
        <v>66051</v>
      </c>
      <c r="D99" t="s">
        <v>13</v>
      </c>
      <c r="F99">
        <v>197</v>
      </c>
      <c r="G99" s="1">
        <v>0.13680555555555557</v>
      </c>
      <c r="H99" t="b">
        <v>0</v>
      </c>
      <c r="I99" t="s">
        <v>413</v>
      </c>
      <c r="J99" t="s">
        <v>414</v>
      </c>
      <c r="K99" t="s">
        <v>415</v>
      </c>
      <c r="L99">
        <v>20300</v>
      </c>
    </row>
    <row r="100" spans="1:12" x14ac:dyDescent="0.3">
      <c r="A100" t="s">
        <v>416</v>
      </c>
      <c r="B100" t="s">
        <v>416</v>
      </c>
      <c r="C100">
        <v>16952860</v>
      </c>
      <c r="D100" t="s">
        <v>13</v>
      </c>
      <c r="E100" t="s">
        <v>417</v>
      </c>
      <c r="F100">
        <v>155</v>
      </c>
      <c r="G100" s="1">
        <v>0.1076388888888889</v>
      </c>
      <c r="H100" t="b">
        <v>0</v>
      </c>
      <c r="I100" t="s">
        <v>418</v>
      </c>
      <c r="J100" t="s">
        <v>417</v>
      </c>
      <c r="K100" t="s">
        <v>419</v>
      </c>
      <c r="L100">
        <v>5200000</v>
      </c>
    </row>
    <row r="101" spans="1:12" x14ac:dyDescent="0.3">
      <c r="A101" t="s">
        <v>420</v>
      </c>
      <c r="B101" t="s">
        <v>420</v>
      </c>
      <c r="C101">
        <v>16971256</v>
      </c>
      <c r="D101" t="s">
        <v>13</v>
      </c>
      <c r="E101" t="s">
        <v>421</v>
      </c>
      <c r="F101">
        <v>161</v>
      </c>
      <c r="G101" s="1">
        <v>0.11180555555555556</v>
      </c>
      <c r="H101" t="b">
        <v>0</v>
      </c>
      <c r="I101" t="s">
        <v>422</v>
      </c>
      <c r="J101" t="s">
        <v>401</v>
      </c>
      <c r="K101" t="s">
        <v>402</v>
      </c>
      <c r="L101">
        <v>35500000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39D6-6E90-456E-BCC7-0FB9BD4B06BE}">
  <sheetPr filterMode="1"/>
  <dimension ref="A1:K101"/>
  <sheetViews>
    <sheetView zoomScaleNormal="100" workbookViewId="0">
      <selection activeCell="C107" sqref="C107"/>
    </sheetView>
  </sheetViews>
  <sheetFormatPr defaultRowHeight="14.4" x14ac:dyDescent="0.3"/>
  <cols>
    <col min="1" max="1" width="54.6640625" customWidth="1"/>
    <col min="2" max="2" width="16.33203125" customWidth="1"/>
    <col min="3" max="3" width="24.88671875" customWidth="1"/>
    <col min="4" max="4" width="10.77734375" customWidth="1"/>
    <col min="5" max="5" width="23.6640625" customWidth="1"/>
    <col min="6" max="6" width="27.21875" customWidth="1"/>
    <col min="7" max="7" width="17.77734375" customWidth="1"/>
    <col min="8" max="8" width="23.109375" customWidth="1"/>
    <col min="10" max="10" width="21.109375" customWidth="1"/>
    <col min="11" max="11" width="26.21875" customWidth="1"/>
  </cols>
  <sheetData>
    <row r="1" spans="1:11" s="2" customFormat="1" ht="17.399999999999999" x14ac:dyDescent="0.35">
      <c r="A1" s="2" t="s">
        <v>423</v>
      </c>
      <c r="B1" s="2" t="s">
        <v>424</v>
      </c>
      <c r="C1" s="2" t="s">
        <v>425</v>
      </c>
      <c r="D1" s="2" t="s">
        <v>426</v>
      </c>
      <c r="E1" s="2" t="s">
        <v>427</v>
      </c>
      <c r="F1" s="2" t="s">
        <v>428</v>
      </c>
      <c r="G1" s="2" t="s">
        <v>429</v>
      </c>
      <c r="H1" s="2" t="s">
        <v>430</v>
      </c>
      <c r="I1" s="2" t="s">
        <v>431</v>
      </c>
      <c r="J1" s="2" t="s">
        <v>432</v>
      </c>
      <c r="K1" s="2" t="s">
        <v>433</v>
      </c>
    </row>
    <row r="2" spans="1:11" x14ac:dyDescent="0.3">
      <c r="A2" t="s">
        <v>12</v>
      </c>
      <c r="B2" s="3">
        <v>2009014557</v>
      </c>
      <c r="C2" s="3" t="s">
        <v>13</v>
      </c>
      <c r="D2" t="s">
        <v>14</v>
      </c>
      <c r="E2" s="3">
        <v>173</v>
      </c>
      <c r="F2" s="4">
        <v>0.12013888888888889</v>
      </c>
      <c r="G2" t="b">
        <v>0</v>
      </c>
      <c r="H2" t="s">
        <v>15</v>
      </c>
      <c r="I2" t="s">
        <v>16</v>
      </c>
      <c r="J2" t="s">
        <v>17</v>
      </c>
      <c r="K2" s="3">
        <v>19200000</v>
      </c>
    </row>
    <row r="3" spans="1:11" x14ac:dyDescent="0.3">
      <c r="A3" t="s">
        <v>18</v>
      </c>
      <c r="B3" s="3">
        <v>1324833300</v>
      </c>
      <c r="C3" s="3" t="s">
        <v>13</v>
      </c>
      <c r="D3" t="s">
        <v>19</v>
      </c>
      <c r="E3" s="3">
        <v>252</v>
      </c>
      <c r="F3" s="4">
        <v>0.17499999999999999</v>
      </c>
      <c r="G3" t="b">
        <v>0</v>
      </c>
      <c r="H3" t="s">
        <v>20</v>
      </c>
      <c r="I3" t="s">
        <v>21</v>
      </c>
      <c r="J3" t="s">
        <v>22</v>
      </c>
      <c r="K3" s="3">
        <v>29600000</v>
      </c>
    </row>
    <row r="4" spans="1:11" hidden="1" x14ac:dyDescent="0.3">
      <c r="A4" t="s">
        <v>23</v>
      </c>
      <c r="B4">
        <v>2536628</v>
      </c>
      <c r="C4" t="s">
        <v>13</v>
      </c>
      <c r="D4" t="s">
        <v>24</v>
      </c>
      <c r="E4">
        <v>160</v>
      </c>
      <c r="F4" s="1">
        <v>0.1111111111111111</v>
      </c>
      <c r="G4" t="b">
        <v>0</v>
      </c>
      <c r="H4" t="s">
        <v>25</v>
      </c>
      <c r="I4" t="s">
        <v>26</v>
      </c>
      <c r="J4" t="s">
        <v>27</v>
      </c>
      <c r="K4" s="3">
        <v>408000</v>
      </c>
    </row>
    <row r="5" spans="1:11" x14ac:dyDescent="0.3">
      <c r="A5" t="s">
        <v>28</v>
      </c>
      <c r="B5" s="3">
        <v>558329099</v>
      </c>
      <c r="C5" s="3" t="s">
        <v>13</v>
      </c>
      <c r="D5" t="s">
        <v>29</v>
      </c>
      <c r="E5" s="3">
        <v>231</v>
      </c>
      <c r="F5" s="4">
        <v>0.16041666666666668</v>
      </c>
      <c r="G5" t="b">
        <v>0</v>
      </c>
      <c r="H5" t="s">
        <v>30</v>
      </c>
      <c r="I5" t="s">
        <v>31</v>
      </c>
      <c r="J5" t="s">
        <v>32</v>
      </c>
      <c r="K5" s="3">
        <v>56800000</v>
      </c>
    </row>
    <row r="6" spans="1:11" hidden="1" x14ac:dyDescent="0.3">
      <c r="A6" t="s">
        <v>33</v>
      </c>
      <c r="B6">
        <v>2113548</v>
      </c>
      <c r="C6" t="s">
        <v>13</v>
      </c>
      <c r="D6" t="s">
        <v>24</v>
      </c>
      <c r="E6">
        <v>180</v>
      </c>
      <c r="F6" s="1">
        <v>0.125</v>
      </c>
      <c r="G6" t="b">
        <v>0</v>
      </c>
      <c r="H6" t="s">
        <v>34</v>
      </c>
      <c r="I6" t="s">
        <v>26</v>
      </c>
      <c r="J6" t="s">
        <v>27</v>
      </c>
      <c r="K6" s="3">
        <v>408000</v>
      </c>
    </row>
    <row r="7" spans="1:11" x14ac:dyDescent="0.3">
      <c r="A7" t="s">
        <v>35</v>
      </c>
      <c r="B7" s="3">
        <v>472570966</v>
      </c>
      <c r="C7" s="3" t="s">
        <v>13</v>
      </c>
      <c r="D7" t="s">
        <v>36</v>
      </c>
      <c r="E7" s="3">
        <v>201</v>
      </c>
      <c r="F7" s="4">
        <v>0.13958333333333334</v>
      </c>
      <c r="G7" t="b">
        <v>0</v>
      </c>
      <c r="H7" t="s">
        <v>37</v>
      </c>
      <c r="I7" t="s">
        <v>38</v>
      </c>
      <c r="J7" t="s">
        <v>39</v>
      </c>
      <c r="K7" s="3">
        <v>12300000</v>
      </c>
    </row>
    <row r="8" spans="1:11" x14ac:dyDescent="0.3">
      <c r="A8" t="s">
        <v>40</v>
      </c>
      <c r="B8" s="3">
        <v>191073418</v>
      </c>
      <c r="C8" s="3" t="s">
        <v>13</v>
      </c>
      <c r="D8" t="s">
        <v>41</v>
      </c>
      <c r="E8" s="3">
        <v>269</v>
      </c>
      <c r="F8" s="4">
        <v>0.18680555555555556</v>
      </c>
      <c r="G8" t="b">
        <v>0</v>
      </c>
      <c r="H8" t="s">
        <v>42</v>
      </c>
      <c r="I8" t="s">
        <v>21</v>
      </c>
      <c r="J8" t="s">
        <v>22</v>
      </c>
      <c r="K8" s="3">
        <v>29600000</v>
      </c>
    </row>
    <row r="9" spans="1:11" x14ac:dyDescent="0.3">
      <c r="A9" t="s">
        <v>43</v>
      </c>
      <c r="B9" s="3">
        <v>184696317</v>
      </c>
      <c r="C9" s="3" t="s">
        <v>13</v>
      </c>
      <c r="D9" t="s">
        <v>44</v>
      </c>
      <c r="E9" s="3">
        <v>183</v>
      </c>
      <c r="F9" s="4">
        <v>0.12708333333333333</v>
      </c>
      <c r="G9" t="b">
        <v>0</v>
      </c>
      <c r="H9" t="s">
        <v>45</v>
      </c>
      <c r="I9" t="s">
        <v>46</v>
      </c>
      <c r="J9" t="s">
        <v>47</v>
      </c>
      <c r="K9" s="3">
        <v>58500000</v>
      </c>
    </row>
    <row r="10" spans="1:11" hidden="1" x14ac:dyDescent="0.3">
      <c r="A10" t="s">
        <v>48</v>
      </c>
      <c r="B10">
        <v>187281056</v>
      </c>
      <c r="C10" t="s">
        <v>49</v>
      </c>
      <c r="D10" t="s">
        <v>50</v>
      </c>
      <c r="E10">
        <v>221</v>
      </c>
      <c r="F10" s="1">
        <v>0.15347222222222223</v>
      </c>
      <c r="G10" t="b">
        <v>0</v>
      </c>
      <c r="H10" t="s">
        <v>51</v>
      </c>
      <c r="I10" t="s">
        <v>52</v>
      </c>
      <c r="J10" t="s">
        <v>53</v>
      </c>
      <c r="K10">
        <v>1220000</v>
      </c>
    </row>
    <row r="11" spans="1:11" hidden="1" x14ac:dyDescent="0.3">
      <c r="A11" t="s">
        <v>54</v>
      </c>
      <c r="B11">
        <v>40408980</v>
      </c>
      <c r="C11" t="s">
        <v>13</v>
      </c>
      <c r="D11" t="s">
        <v>29</v>
      </c>
      <c r="E11">
        <v>261</v>
      </c>
      <c r="F11" s="1">
        <v>0.18124999999999999</v>
      </c>
      <c r="G11" t="b">
        <v>0</v>
      </c>
      <c r="H11" t="s">
        <v>55</v>
      </c>
      <c r="I11" t="s">
        <v>31</v>
      </c>
      <c r="J11" t="s">
        <v>32</v>
      </c>
      <c r="K11" s="3">
        <v>56800000</v>
      </c>
    </row>
    <row r="12" spans="1:11" hidden="1" x14ac:dyDescent="0.3">
      <c r="A12" t="s">
        <v>56</v>
      </c>
      <c r="B12">
        <v>1198540</v>
      </c>
      <c r="C12" t="s">
        <v>49</v>
      </c>
      <c r="E12">
        <v>152</v>
      </c>
      <c r="F12" s="1">
        <v>0.10555555555555556</v>
      </c>
      <c r="G12" t="b">
        <v>0</v>
      </c>
      <c r="H12" t="s">
        <v>57</v>
      </c>
      <c r="I12" t="s">
        <v>58</v>
      </c>
      <c r="J12" t="s">
        <v>59</v>
      </c>
      <c r="K12">
        <v>142000</v>
      </c>
    </row>
    <row r="13" spans="1:11" hidden="1" x14ac:dyDescent="0.3">
      <c r="A13" t="s">
        <v>60</v>
      </c>
      <c r="B13">
        <v>147871443</v>
      </c>
      <c r="C13" t="s">
        <v>49</v>
      </c>
      <c r="E13">
        <v>187</v>
      </c>
      <c r="F13" s="1">
        <v>0.12986111111111112</v>
      </c>
      <c r="G13" t="b">
        <v>0</v>
      </c>
      <c r="H13" t="s">
        <v>61</v>
      </c>
      <c r="I13" t="s">
        <v>62</v>
      </c>
      <c r="J13" t="s">
        <v>63</v>
      </c>
      <c r="K13">
        <v>4050000</v>
      </c>
    </row>
    <row r="14" spans="1:11" hidden="1" x14ac:dyDescent="0.3">
      <c r="A14" t="s">
        <v>64</v>
      </c>
      <c r="B14">
        <v>142084039</v>
      </c>
      <c r="C14" t="s">
        <v>49</v>
      </c>
      <c r="E14">
        <v>178</v>
      </c>
      <c r="F14" s="1">
        <v>0.12361111111111112</v>
      </c>
      <c r="G14" t="b">
        <v>0</v>
      </c>
      <c r="H14" t="s">
        <v>65</v>
      </c>
      <c r="I14" t="s">
        <v>66</v>
      </c>
      <c r="J14" t="s">
        <v>67</v>
      </c>
      <c r="K14">
        <v>19700000</v>
      </c>
    </row>
    <row r="15" spans="1:11" hidden="1" x14ac:dyDescent="0.3">
      <c r="A15" t="s">
        <v>68</v>
      </c>
      <c r="B15">
        <v>288277902</v>
      </c>
      <c r="C15" t="s">
        <v>13</v>
      </c>
      <c r="D15" t="s">
        <v>69</v>
      </c>
      <c r="E15">
        <v>173</v>
      </c>
      <c r="F15" s="1">
        <v>0.12013888888888889</v>
      </c>
      <c r="G15" t="b">
        <v>0</v>
      </c>
      <c r="H15" t="s">
        <v>70</v>
      </c>
      <c r="I15" t="s">
        <v>71</v>
      </c>
      <c r="J15" t="s">
        <v>72</v>
      </c>
      <c r="K15" s="3">
        <v>955000</v>
      </c>
    </row>
    <row r="16" spans="1:11" x14ac:dyDescent="0.3">
      <c r="A16" t="s">
        <v>73</v>
      </c>
      <c r="B16" s="3">
        <v>397228595</v>
      </c>
      <c r="C16" s="3" t="s">
        <v>13</v>
      </c>
      <c r="D16" t="s">
        <v>74</v>
      </c>
      <c r="E16" s="3">
        <v>354</v>
      </c>
      <c r="F16" s="4">
        <v>0.24583333333333332</v>
      </c>
      <c r="G16" t="b">
        <v>0</v>
      </c>
      <c r="H16" t="s">
        <v>75</v>
      </c>
      <c r="I16" t="s">
        <v>66</v>
      </c>
      <c r="J16" t="s">
        <v>76</v>
      </c>
      <c r="K16" s="3">
        <v>19700000</v>
      </c>
    </row>
    <row r="17" spans="1:11" hidden="1" x14ac:dyDescent="0.3">
      <c r="A17" t="s">
        <v>77</v>
      </c>
      <c r="B17">
        <v>115058148</v>
      </c>
      <c r="C17" t="s">
        <v>13</v>
      </c>
      <c r="D17" t="s">
        <v>78</v>
      </c>
      <c r="E17">
        <v>244</v>
      </c>
      <c r="F17" s="1">
        <v>0.16944444444444445</v>
      </c>
      <c r="G17" t="b">
        <v>0</v>
      </c>
      <c r="H17" t="s">
        <v>79</v>
      </c>
      <c r="I17" t="s">
        <v>80</v>
      </c>
      <c r="J17" t="s">
        <v>81</v>
      </c>
      <c r="K17" s="3">
        <v>8080000</v>
      </c>
    </row>
    <row r="18" spans="1:11" hidden="1" x14ac:dyDescent="0.3">
      <c r="A18" t="s">
        <v>82</v>
      </c>
      <c r="B18">
        <v>12089</v>
      </c>
      <c r="C18" t="s">
        <v>13</v>
      </c>
      <c r="D18" t="s">
        <v>83</v>
      </c>
      <c r="E18">
        <v>189</v>
      </c>
      <c r="F18" s="1">
        <v>0.13125000000000001</v>
      </c>
      <c r="G18" t="b">
        <v>0</v>
      </c>
      <c r="H18" t="s">
        <v>84</v>
      </c>
      <c r="I18" t="s">
        <v>85</v>
      </c>
      <c r="J18" t="s">
        <v>86</v>
      </c>
      <c r="K18" s="3">
        <v>1320</v>
      </c>
    </row>
    <row r="19" spans="1:11" hidden="1" x14ac:dyDescent="0.3">
      <c r="A19" t="s">
        <v>87</v>
      </c>
      <c r="B19">
        <v>110991682</v>
      </c>
      <c r="C19" t="s">
        <v>13</v>
      </c>
      <c r="D19" t="s">
        <v>88</v>
      </c>
      <c r="E19">
        <v>284</v>
      </c>
      <c r="F19" s="1">
        <v>0.19722222222222222</v>
      </c>
      <c r="G19" t="b">
        <v>0</v>
      </c>
      <c r="H19" t="s">
        <v>89</v>
      </c>
      <c r="I19" t="s">
        <v>90</v>
      </c>
      <c r="J19" t="s">
        <v>91</v>
      </c>
      <c r="K19" s="3">
        <v>565000</v>
      </c>
    </row>
    <row r="20" spans="1:11" hidden="1" x14ac:dyDescent="0.3">
      <c r="A20" t="s">
        <v>92</v>
      </c>
      <c r="B20">
        <v>160421970</v>
      </c>
      <c r="C20" t="s">
        <v>13</v>
      </c>
      <c r="D20" t="s">
        <v>93</v>
      </c>
      <c r="E20">
        <v>185</v>
      </c>
      <c r="F20" s="1">
        <v>0.12847222222222221</v>
      </c>
      <c r="G20" t="b">
        <v>0</v>
      </c>
      <c r="H20" t="s">
        <v>94</v>
      </c>
      <c r="I20" t="s">
        <v>95</v>
      </c>
      <c r="J20" t="s">
        <v>96</v>
      </c>
      <c r="K20" s="3">
        <v>6070000</v>
      </c>
    </row>
    <row r="21" spans="1:11" hidden="1" x14ac:dyDescent="0.3">
      <c r="A21" t="s">
        <v>97</v>
      </c>
      <c r="B21">
        <v>92973980</v>
      </c>
      <c r="C21" t="s">
        <v>13</v>
      </c>
      <c r="D21" t="s">
        <v>98</v>
      </c>
      <c r="E21">
        <v>221</v>
      </c>
      <c r="F21" s="1">
        <v>0.15347222222222223</v>
      </c>
      <c r="G21" t="b">
        <v>0</v>
      </c>
      <c r="H21" t="s">
        <v>99</v>
      </c>
      <c r="I21" t="s">
        <v>100</v>
      </c>
      <c r="J21" t="s">
        <v>101</v>
      </c>
      <c r="K21" s="3">
        <v>16100000</v>
      </c>
    </row>
    <row r="22" spans="1:11" x14ac:dyDescent="0.3">
      <c r="A22" t="s">
        <v>102</v>
      </c>
      <c r="B22" s="3">
        <v>253618903</v>
      </c>
      <c r="C22" s="3" t="s">
        <v>13</v>
      </c>
      <c r="D22" t="s">
        <v>36</v>
      </c>
      <c r="E22" s="3">
        <v>263</v>
      </c>
      <c r="F22" s="4">
        <v>0.18263888888888888</v>
      </c>
      <c r="G22" t="b">
        <v>0</v>
      </c>
      <c r="H22" t="s">
        <v>103</v>
      </c>
      <c r="I22" t="s">
        <v>38</v>
      </c>
      <c r="J22" t="s">
        <v>39</v>
      </c>
      <c r="K22" s="3">
        <v>12300000</v>
      </c>
    </row>
    <row r="23" spans="1:11" hidden="1" x14ac:dyDescent="0.3">
      <c r="A23" t="s">
        <v>104</v>
      </c>
      <c r="B23">
        <v>7805</v>
      </c>
      <c r="C23" t="s">
        <v>13</v>
      </c>
      <c r="D23" t="s">
        <v>105</v>
      </c>
      <c r="E23">
        <v>191</v>
      </c>
      <c r="F23" s="1">
        <v>0.13263888888888889</v>
      </c>
      <c r="G23" t="b">
        <v>0</v>
      </c>
      <c r="H23" t="s">
        <v>106</v>
      </c>
      <c r="I23" t="s">
        <v>107</v>
      </c>
      <c r="J23" t="s">
        <v>108</v>
      </c>
      <c r="K23" s="3">
        <v>14800</v>
      </c>
    </row>
    <row r="24" spans="1:11" hidden="1" x14ac:dyDescent="0.3">
      <c r="A24" t="s">
        <v>109</v>
      </c>
      <c r="B24">
        <v>45822601</v>
      </c>
      <c r="C24" t="s">
        <v>13</v>
      </c>
      <c r="E24">
        <v>156</v>
      </c>
      <c r="F24" s="1">
        <v>0.10833333333333334</v>
      </c>
      <c r="G24" t="b">
        <v>0</v>
      </c>
      <c r="H24" t="s">
        <v>110</v>
      </c>
      <c r="I24" t="s">
        <v>111</v>
      </c>
      <c r="J24" t="s">
        <v>112</v>
      </c>
      <c r="K24" s="3">
        <v>655000</v>
      </c>
    </row>
    <row r="25" spans="1:11" hidden="1" x14ac:dyDescent="0.3">
      <c r="A25" t="s">
        <v>113</v>
      </c>
      <c r="B25">
        <v>80889460</v>
      </c>
      <c r="C25" t="s">
        <v>13</v>
      </c>
      <c r="D25" t="s">
        <v>114</v>
      </c>
      <c r="E25">
        <v>236</v>
      </c>
      <c r="F25" s="1">
        <v>0.16388888888888889</v>
      </c>
      <c r="G25" t="b">
        <v>0</v>
      </c>
      <c r="H25" t="s">
        <v>115</v>
      </c>
      <c r="I25" t="s">
        <v>38</v>
      </c>
      <c r="J25" t="s">
        <v>39</v>
      </c>
      <c r="K25" s="3">
        <v>12300000</v>
      </c>
    </row>
    <row r="26" spans="1:11" hidden="1" x14ac:dyDescent="0.3">
      <c r="A26" t="s">
        <v>116</v>
      </c>
      <c r="B26">
        <v>51336708</v>
      </c>
      <c r="C26" t="s">
        <v>13</v>
      </c>
      <c r="D26" t="s">
        <v>117</v>
      </c>
      <c r="E26">
        <v>252</v>
      </c>
      <c r="F26" s="1">
        <v>0.17499999999999999</v>
      </c>
      <c r="G26" t="b">
        <v>0</v>
      </c>
      <c r="H26" t="s">
        <v>118</v>
      </c>
      <c r="I26" t="s">
        <v>119</v>
      </c>
      <c r="J26" t="s">
        <v>120</v>
      </c>
      <c r="K26" s="3">
        <v>3140000</v>
      </c>
    </row>
    <row r="27" spans="1:11" hidden="1" x14ac:dyDescent="0.3">
      <c r="A27" t="s">
        <v>121</v>
      </c>
      <c r="B27">
        <v>87005996</v>
      </c>
      <c r="C27" t="s">
        <v>13</v>
      </c>
      <c r="E27">
        <v>353</v>
      </c>
      <c r="F27" s="1">
        <v>0.24513888888888888</v>
      </c>
      <c r="G27" t="b">
        <v>0</v>
      </c>
      <c r="H27" t="s">
        <v>122</v>
      </c>
      <c r="I27" t="s">
        <v>123</v>
      </c>
      <c r="J27" t="s">
        <v>124</v>
      </c>
      <c r="K27" s="3">
        <v>255000</v>
      </c>
    </row>
    <row r="28" spans="1:11" hidden="1" x14ac:dyDescent="0.3">
      <c r="A28" t="s">
        <v>125</v>
      </c>
      <c r="B28">
        <v>17322</v>
      </c>
      <c r="C28" t="s">
        <v>13</v>
      </c>
      <c r="E28">
        <v>154</v>
      </c>
      <c r="F28" s="1">
        <v>0.10694444444444444</v>
      </c>
      <c r="G28" t="b">
        <v>0</v>
      </c>
      <c r="H28" t="s">
        <v>126</v>
      </c>
      <c r="I28" t="s">
        <v>127</v>
      </c>
      <c r="J28" t="s">
        <v>128</v>
      </c>
      <c r="K28" s="3">
        <v>47</v>
      </c>
    </row>
    <row r="29" spans="1:11" x14ac:dyDescent="0.3">
      <c r="A29" t="s">
        <v>129</v>
      </c>
      <c r="B29" s="3">
        <v>148501523</v>
      </c>
      <c r="C29" s="3" t="s">
        <v>13</v>
      </c>
      <c r="D29" t="s">
        <v>29</v>
      </c>
      <c r="E29" s="3">
        <v>324</v>
      </c>
      <c r="F29" s="4">
        <v>0.22500000000000001</v>
      </c>
      <c r="G29" t="b">
        <v>0</v>
      </c>
      <c r="H29" t="s">
        <v>130</v>
      </c>
      <c r="I29" t="s">
        <v>31</v>
      </c>
      <c r="J29" t="s">
        <v>32</v>
      </c>
      <c r="K29" s="3">
        <v>56800000</v>
      </c>
    </row>
    <row r="30" spans="1:11" x14ac:dyDescent="0.3">
      <c r="A30" t="s">
        <v>131</v>
      </c>
      <c r="B30" s="3">
        <v>210275500</v>
      </c>
      <c r="C30" s="3" t="s">
        <v>13</v>
      </c>
      <c r="D30" t="s">
        <v>36</v>
      </c>
      <c r="E30" s="3">
        <v>198</v>
      </c>
      <c r="F30" s="4">
        <v>0.13750000000000001</v>
      </c>
      <c r="G30" t="b">
        <v>0</v>
      </c>
      <c r="H30" t="s">
        <v>132</v>
      </c>
      <c r="I30" t="s">
        <v>38</v>
      </c>
      <c r="J30" t="s">
        <v>39</v>
      </c>
      <c r="K30" s="3">
        <v>12300000</v>
      </c>
    </row>
    <row r="31" spans="1:11" x14ac:dyDescent="0.3">
      <c r="A31" t="s">
        <v>133</v>
      </c>
      <c r="B31" s="3">
        <v>209840684</v>
      </c>
      <c r="C31" s="3" t="s">
        <v>13</v>
      </c>
      <c r="D31" t="s">
        <v>134</v>
      </c>
      <c r="E31" s="3">
        <v>201</v>
      </c>
      <c r="F31" s="4">
        <v>0.13958333333333334</v>
      </c>
      <c r="G31" t="b">
        <v>0</v>
      </c>
      <c r="H31" t="s">
        <v>135</v>
      </c>
      <c r="I31" t="s">
        <v>136</v>
      </c>
      <c r="J31" t="s">
        <v>137</v>
      </c>
      <c r="K31" s="3">
        <v>28400000</v>
      </c>
    </row>
    <row r="32" spans="1:11" hidden="1" x14ac:dyDescent="0.3">
      <c r="A32" t="s">
        <v>138</v>
      </c>
      <c r="B32">
        <v>28007213</v>
      </c>
      <c r="C32" t="s">
        <v>13</v>
      </c>
      <c r="D32" t="s">
        <v>139</v>
      </c>
      <c r="E32">
        <v>166</v>
      </c>
      <c r="F32" s="1">
        <v>0.11527777777777778</v>
      </c>
      <c r="G32" t="b">
        <v>0</v>
      </c>
      <c r="H32" t="s">
        <v>140</v>
      </c>
      <c r="I32" t="s">
        <v>141</v>
      </c>
      <c r="J32" t="s">
        <v>142</v>
      </c>
      <c r="K32" s="3">
        <v>1770000</v>
      </c>
    </row>
    <row r="33" spans="1:11" hidden="1" x14ac:dyDescent="0.3">
      <c r="A33" t="s">
        <v>143</v>
      </c>
      <c r="B33">
        <v>6605</v>
      </c>
      <c r="C33" t="s">
        <v>13</v>
      </c>
      <c r="E33">
        <v>137</v>
      </c>
      <c r="F33" s="1">
        <v>9.5138888888888884E-2</v>
      </c>
      <c r="G33" t="b">
        <v>0</v>
      </c>
      <c r="H33" t="s">
        <v>144</v>
      </c>
      <c r="I33" t="s">
        <v>145</v>
      </c>
      <c r="J33" t="s">
        <v>146</v>
      </c>
      <c r="K33" s="3">
        <v>3630</v>
      </c>
    </row>
    <row r="34" spans="1:11" hidden="1" x14ac:dyDescent="0.3">
      <c r="A34" t="s">
        <v>147</v>
      </c>
      <c r="B34">
        <v>236500879</v>
      </c>
      <c r="C34" t="s">
        <v>13</v>
      </c>
      <c r="E34">
        <v>193</v>
      </c>
      <c r="F34" s="1">
        <v>0.13402777777777777</v>
      </c>
      <c r="G34" t="b">
        <v>0</v>
      </c>
      <c r="H34" t="s">
        <v>148</v>
      </c>
      <c r="I34" t="s">
        <v>149</v>
      </c>
      <c r="J34" t="s">
        <v>150</v>
      </c>
      <c r="K34" s="3">
        <v>1230000</v>
      </c>
    </row>
    <row r="35" spans="1:11" hidden="1" x14ac:dyDescent="0.3">
      <c r="A35" t="s">
        <v>151</v>
      </c>
      <c r="B35">
        <v>36173120</v>
      </c>
      <c r="C35" t="s">
        <v>13</v>
      </c>
      <c r="D35" t="s">
        <v>152</v>
      </c>
      <c r="E35">
        <v>174</v>
      </c>
      <c r="F35" s="1">
        <v>0.12083333333333333</v>
      </c>
      <c r="G35" t="b">
        <v>0</v>
      </c>
      <c r="H35" t="s">
        <v>153</v>
      </c>
      <c r="I35" t="s">
        <v>154</v>
      </c>
      <c r="J35" t="s">
        <v>155</v>
      </c>
      <c r="K35" s="3">
        <v>391000</v>
      </c>
    </row>
    <row r="36" spans="1:11" x14ac:dyDescent="0.3">
      <c r="A36" t="s">
        <v>156</v>
      </c>
      <c r="B36" s="3">
        <v>119135427</v>
      </c>
      <c r="C36" s="3" t="s">
        <v>13</v>
      </c>
      <c r="D36" t="s">
        <v>157</v>
      </c>
      <c r="E36" s="3">
        <v>218</v>
      </c>
      <c r="F36" s="4">
        <v>0.15138888888888888</v>
      </c>
      <c r="G36" t="b">
        <v>0</v>
      </c>
      <c r="H36" t="s">
        <v>158</v>
      </c>
      <c r="I36" t="s">
        <v>16</v>
      </c>
      <c r="J36" t="s">
        <v>17</v>
      </c>
      <c r="K36" s="3">
        <v>19200000</v>
      </c>
    </row>
    <row r="37" spans="1:11" hidden="1" x14ac:dyDescent="0.3">
      <c r="A37" t="s">
        <v>159</v>
      </c>
      <c r="B37">
        <v>70965585</v>
      </c>
      <c r="C37" t="s">
        <v>49</v>
      </c>
      <c r="E37">
        <v>166</v>
      </c>
      <c r="F37" s="1">
        <v>0.11527777777777778</v>
      </c>
      <c r="G37" t="b">
        <v>0</v>
      </c>
      <c r="H37" t="s">
        <v>160</v>
      </c>
      <c r="I37" t="s">
        <v>66</v>
      </c>
      <c r="J37" t="s">
        <v>67</v>
      </c>
      <c r="K37">
        <v>19700000</v>
      </c>
    </row>
    <row r="38" spans="1:11" hidden="1" x14ac:dyDescent="0.3">
      <c r="A38" t="s">
        <v>161</v>
      </c>
      <c r="B38">
        <v>7550110</v>
      </c>
      <c r="C38" t="s">
        <v>13</v>
      </c>
      <c r="D38" t="s">
        <v>162</v>
      </c>
      <c r="E38">
        <v>222</v>
      </c>
      <c r="F38" s="1">
        <v>0.15416666666666667</v>
      </c>
      <c r="G38" t="b">
        <v>0</v>
      </c>
      <c r="H38" t="s">
        <v>163</v>
      </c>
      <c r="I38" t="s">
        <v>164</v>
      </c>
      <c r="J38" t="s">
        <v>165</v>
      </c>
      <c r="K38" s="3">
        <v>360000</v>
      </c>
    </row>
    <row r="39" spans="1:11" x14ac:dyDescent="0.3">
      <c r="A39" t="s">
        <v>166</v>
      </c>
      <c r="B39" s="3">
        <v>112391296</v>
      </c>
      <c r="C39" s="3" t="s">
        <v>13</v>
      </c>
      <c r="D39" t="s">
        <v>167</v>
      </c>
      <c r="E39" s="3">
        <v>234</v>
      </c>
      <c r="F39" s="4">
        <v>0.16250000000000001</v>
      </c>
      <c r="G39" t="b">
        <v>0</v>
      </c>
      <c r="H39" t="s">
        <v>168</v>
      </c>
      <c r="I39" t="s">
        <v>16</v>
      </c>
      <c r="J39" t="s">
        <v>17</v>
      </c>
      <c r="K39" s="3">
        <v>19200000</v>
      </c>
    </row>
    <row r="40" spans="1:11" hidden="1" x14ac:dyDescent="0.3">
      <c r="A40" t="s">
        <v>169</v>
      </c>
      <c r="B40">
        <v>118077070</v>
      </c>
      <c r="C40" t="s">
        <v>13</v>
      </c>
      <c r="D40" t="s">
        <v>170</v>
      </c>
      <c r="E40">
        <v>218</v>
      </c>
      <c r="F40" s="1">
        <v>0.15138888888888888</v>
      </c>
      <c r="G40" t="b">
        <v>0</v>
      </c>
      <c r="H40" t="s">
        <v>171</v>
      </c>
      <c r="I40" t="s">
        <v>172</v>
      </c>
      <c r="J40" t="s">
        <v>173</v>
      </c>
      <c r="K40" s="3">
        <v>2250000</v>
      </c>
    </row>
    <row r="41" spans="1:11" hidden="1" x14ac:dyDescent="0.3">
      <c r="A41" t="s">
        <v>174</v>
      </c>
      <c r="B41">
        <v>174553002</v>
      </c>
      <c r="C41" t="s">
        <v>13</v>
      </c>
      <c r="D41" t="s">
        <v>175</v>
      </c>
      <c r="E41">
        <v>191</v>
      </c>
      <c r="F41" s="1">
        <v>0.13263888888888889</v>
      </c>
      <c r="G41" t="b">
        <v>0</v>
      </c>
      <c r="H41" t="s">
        <v>176</v>
      </c>
      <c r="I41" t="s">
        <v>80</v>
      </c>
      <c r="J41" t="s">
        <v>81</v>
      </c>
      <c r="K41" s="3">
        <v>8080000</v>
      </c>
    </row>
    <row r="42" spans="1:11" hidden="1" x14ac:dyDescent="0.3">
      <c r="A42" t="s">
        <v>177</v>
      </c>
      <c r="B42">
        <v>34415168</v>
      </c>
      <c r="C42" t="s">
        <v>13</v>
      </c>
      <c r="D42" t="s">
        <v>178</v>
      </c>
      <c r="E42">
        <v>207</v>
      </c>
      <c r="F42" s="1">
        <v>0.14374999999999999</v>
      </c>
      <c r="G42" t="b">
        <v>0</v>
      </c>
      <c r="H42" t="s">
        <v>179</v>
      </c>
      <c r="I42" t="s">
        <v>46</v>
      </c>
      <c r="J42" t="s">
        <v>47</v>
      </c>
      <c r="K42" s="3">
        <v>58500000</v>
      </c>
    </row>
    <row r="43" spans="1:11" hidden="1" x14ac:dyDescent="0.3">
      <c r="A43" t="s">
        <v>180</v>
      </c>
      <c r="B43">
        <v>17943</v>
      </c>
      <c r="C43" t="s">
        <v>13</v>
      </c>
      <c r="D43" t="s">
        <v>181</v>
      </c>
      <c r="E43">
        <v>239</v>
      </c>
      <c r="F43" s="1">
        <v>0.16597222222222222</v>
      </c>
      <c r="G43" t="b">
        <v>0</v>
      </c>
      <c r="H43" t="s">
        <v>182</v>
      </c>
      <c r="I43" t="s">
        <v>183</v>
      </c>
      <c r="J43" t="s">
        <v>184</v>
      </c>
      <c r="K43" s="3">
        <v>32000</v>
      </c>
    </row>
    <row r="44" spans="1:11" hidden="1" x14ac:dyDescent="0.3">
      <c r="A44" t="s">
        <v>185</v>
      </c>
      <c r="B44">
        <v>47392334</v>
      </c>
      <c r="C44" t="s">
        <v>13</v>
      </c>
      <c r="D44" t="s">
        <v>186</v>
      </c>
      <c r="E44">
        <v>202</v>
      </c>
      <c r="F44" s="1">
        <v>0.14027777777777778</v>
      </c>
      <c r="G44" t="b">
        <v>0</v>
      </c>
      <c r="H44" t="s">
        <v>187</v>
      </c>
      <c r="I44" t="s">
        <v>188</v>
      </c>
      <c r="J44" t="s">
        <v>189</v>
      </c>
      <c r="K44" s="3">
        <v>616000</v>
      </c>
    </row>
    <row r="45" spans="1:11" hidden="1" x14ac:dyDescent="0.3">
      <c r="A45" t="s">
        <v>190</v>
      </c>
      <c r="B45">
        <v>40129974</v>
      </c>
      <c r="C45" t="s">
        <v>13</v>
      </c>
      <c r="D45" t="s">
        <v>191</v>
      </c>
      <c r="E45">
        <v>235</v>
      </c>
      <c r="F45" s="1">
        <v>0.16319444444444445</v>
      </c>
      <c r="G45" t="b">
        <v>0</v>
      </c>
      <c r="H45" t="s">
        <v>192</v>
      </c>
      <c r="I45" t="s">
        <v>193</v>
      </c>
      <c r="J45" t="s">
        <v>194</v>
      </c>
      <c r="K45" s="3">
        <v>5350000</v>
      </c>
    </row>
    <row r="46" spans="1:11" hidden="1" x14ac:dyDescent="0.3">
      <c r="A46" t="s">
        <v>195</v>
      </c>
      <c r="B46">
        <v>41075369</v>
      </c>
      <c r="C46" t="s">
        <v>13</v>
      </c>
      <c r="E46">
        <v>204</v>
      </c>
      <c r="F46" s="1">
        <v>0.14166666666666666</v>
      </c>
      <c r="G46" t="b">
        <v>0</v>
      </c>
      <c r="H46" t="s">
        <v>196</v>
      </c>
      <c r="I46" t="s">
        <v>197</v>
      </c>
      <c r="J46" t="s">
        <v>198</v>
      </c>
      <c r="K46" s="3">
        <v>27600000</v>
      </c>
    </row>
    <row r="47" spans="1:11" hidden="1" x14ac:dyDescent="0.3">
      <c r="A47" t="s">
        <v>199</v>
      </c>
      <c r="B47">
        <v>48615120</v>
      </c>
      <c r="C47" t="s">
        <v>13</v>
      </c>
      <c r="D47" t="s">
        <v>200</v>
      </c>
      <c r="E47">
        <v>209</v>
      </c>
      <c r="F47" s="1">
        <v>0.1451388888888889</v>
      </c>
      <c r="G47" t="b">
        <v>0</v>
      </c>
      <c r="H47" t="s">
        <v>201</v>
      </c>
      <c r="I47" t="s">
        <v>202</v>
      </c>
      <c r="J47" t="s">
        <v>203</v>
      </c>
      <c r="K47" s="3">
        <v>38700000</v>
      </c>
    </row>
    <row r="48" spans="1:11" hidden="1" x14ac:dyDescent="0.3">
      <c r="A48" t="s">
        <v>204</v>
      </c>
      <c r="B48">
        <v>188724</v>
      </c>
      <c r="C48" t="s">
        <v>13</v>
      </c>
      <c r="E48">
        <v>220</v>
      </c>
      <c r="F48" s="1">
        <v>0.15277777777777779</v>
      </c>
      <c r="G48" t="b">
        <v>0</v>
      </c>
      <c r="H48" t="s">
        <v>205</v>
      </c>
      <c r="I48" t="s">
        <v>206</v>
      </c>
      <c r="J48" t="s">
        <v>207</v>
      </c>
      <c r="K48" s="3">
        <v>16100</v>
      </c>
    </row>
    <row r="49" spans="1:11" x14ac:dyDescent="0.3">
      <c r="A49" t="s">
        <v>208</v>
      </c>
      <c r="B49" s="3">
        <v>108529744</v>
      </c>
      <c r="C49" s="3" t="s">
        <v>13</v>
      </c>
      <c r="D49" t="s">
        <v>209</v>
      </c>
      <c r="E49" s="3">
        <v>155</v>
      </c>
      <c r="F49" s="4">
        <v>0.1076388888888889</v>
      </c>
      <c r="G49" t="b">
        <v>0</v>
      </c>
      <c r="H49" t="s">
        <v>210</v>
      </c>
      <c r="I49" t="s">
        <v>197</v>
      </c>
      <c r="J49" t="s">
        <v>198</v>
      </c>
      <c r="K49" s="3">
        <v>27600000</v>
      </c>
    </row>
    <row r="50" spans="1:11" hidden="1" x14ac:dyDescent="0.3">
      <c r="A50" t="s">
        <v>211</v>
      </c>
      <c r="B50">
        <v>39114736</v>
      </c>
      <c r="C50" t="s">
        <v>13</v>
      </c>
      <c r="D50" t="s">
        <v>212</v>
      </c>
      <c r="E50">
        <v>265</v>
      </c>
      <c r="F50" s="1">
        <v>0.18402777777777779</v>
      </c>
      <c r="G50" t="b">
        <v>0</v>
      </c>
      <c r="H50" t="s">
        <v>213</v>
      </c>
      <c r="I50" t="s">
        <v>214</v>
      </c>
      <c r="J50" t="s">
        <v>215</v>
      </c>
      <c r="K50" s="3">
        <v>31500000</v>
      </c>
    </row>
    <row r="51" spans="1:11" hidden="1" x14ac:dyDescent="0.3">
      <c r="A51" t="s">
        <v>216</v>
      </c>
      <c r="B51">
        <v>40322577</v>
      </c>
      <c r="C51" t="s">
        <v>13</v>
      </c>
      <c r="D51" t="s">
        <v>217</v>
      </c>
      <c r="E51">
        <v>245</v>
      </c>
      <c r="F51" s="1">
        <v>0.1701388888888889</v>
      </c>
      <c r="G51" t="b">
        <v>0</v>
      </c>
      <c r="H51" t="s">
        <v>218</v>
      </c>
      <c r="I51" t="s">
        <v>202</v>
      </c>
      <c r="J51" t="s">
        <v>203</v>
      </c>
      <c r="K51" s="3">
        <v>38700000</v>
      </c>
    </row>
    <row r="52" spans="1:11" hidden="1" x14ac:dyDescent="0.3">
      <c r="A52" t="s">
        <v>219</v>
      </c>
      <c r="B52">
        <v>34091789</v>
      </c>
      <c r="C52" t="s">
        <v>13</v>
      </c>
      <c r="D52" t="s">
        <v>220</v>
      </c>
      <c r="E52">
        <v>188</v>
      </c>
      <c r="F52" s="1">
        <v>0.13055555555555556</v>
      </c>
      <c r="G52" t="b">
        <v>0</v>
      </c>
      <c r="H52" t="s">
        <v>221</v>
      </c>
      <c r="I52" t="s">
        <v>222</v>
      </c>
      <c r="J52" t="s">
        <v>223</v>
      </c>
      <c r="K52" s="3">
        <v>6320000</v>
      </c>
    </row>
    <row r="53" spans="1:11" hidden="1" x14ac:dyDescent="0.3">
      <c r="A53" t="s">
        <v>224</v>
      </c>
      <c r="B53">
        <v>3794711</v>
      </c>
      <c r="C53" t="s">
        <v>13</v>
      </c>
      <c r="D53" t="s">
        <v>225</v>
      </c>
      <c r="E53">
        <v>191</v>
      </c>
      <c r="F53" s="1">
        <v>0.13263888888888889</v>
      </c>
      <c r="G53" t="b">
        <v>0</v>
      </c>
      <c r="H53" t="s">
        <v>226</v>
      </c>
      <c r="I53" t="s">
        <v>227</v>
      </c>
      <c r="J53" t="s">
        <v>228</v>
      </c>
      <c r="K53" s="3">
        <v>3330000</v>
      </c>
    </row>
    <row r="54" spans="1:11" hidden="1" x14ac:dyDescent="0.3">
      <c r="A54" t="s">
        <v>229</v>
      </c>
      <c r="B54">
        <v>85513596</v>
      </c>
      <c r="C54" t="s">
        <v>13</v>
      </c>
      <c r="D54" t="s">
        <v>230</v>
      </c>
      <c r="E54">
        <v>184</v>
      </c>
      <c r="F54" s="1">
        <v>0.12777777777777777</v>
      </c>
      <c r="G54" t="b">
        <v>0</v>
      </c>
      <c r="H54" t="s">
        <v>231</v>
      </c>
      <c r="I54" t="s">
        <v>232</v>
      </c>
      <c r="J54" t="s">
        <v>233</v>
      </c>
      <c r="K54" s="3">
        <v>5360000</v>
      </c>
    </row>
    <row r="55" spans="1:11" hidden="1" x14ac:dyDescent="0.3">
      <c r="A55" t="s">
        <v>234</v>
      </c>
      <c r="B55">
        <v>36141339</v>
      </c>
      <c r="C55" t="s">
        <v>13</v>
      </c>
      <c r="D55" t="s">
        <v>235</v>
      </c>
      <c r="E55">
        <v>147</v>
      </c>
      <c r="F55" s="1">
        <v>0.10208333333333333</v>
      </c>
      <c r="G55" t="b">
        <v>0</v>
      </c>
      <c r="H55" t="s">
        <v>236</v>
      </c>
      <c r="I55" t="s">
        <v>222</v>
      </c>
      <c r="J55" t="s">
        <v>237</v>
      </c>
      <c r="K55" s="3">
        <v>6320000</v>
      </c>
    </row>
    <row r="56" spans="1:11" hidden="1" x14ac:dyDescent="0.3">
      <c r="A56" t="s">
        <v>238</v>
      </c>
      <c r="B56">
        <v>79002814</v>
      </c>
      <c r="C56" t="s">
        <v>13</v>
      </c>
      <c r="D56" t="s">
        <v>239</v>
      </c>
      <c r="E56">
        <v>161</v>
      </c>
      <c r="F56" s="1">
        <v>0.11180555555555556</v>
      </c>
      <c r="G56" t="b">
        <v>0</v>
      </c>
      <c r="H56" t="s">
        <v>240</v>
      </c>
      <c r="I56" t="s">
        <v>241</v>
      </c>
      <c r="J56" t="s">
        <v>242</v>
      </c>
      <c r="K56" s="3">
        <v>3900000</v>
      </c>
    </row>
    <row r="57" spans="1:11" hidden="1" x14ac:dyDescent="0.3">
      <c r="A57" t="s">
        <v>243</v>
      </c>
      <c r="B57">
        <v>52725607</v>
      </c>
      <c r="C57" t="s">
        <v>49</v>
      </c>
      <c r="D57" t="s">
        <v>244</v>
      </c>
      <c r="E57">
        <v>188</v>
      </c>
      <c r="F57" s="1">
        <v>0.13055555555555556</v>
      </c>
      <c r="G57" t="b">
        <v>0</v>
      </c>
      <c r="H57" t="s">
        <v>245</v>
      </c>
      <c r="I57" t="s">
        <v>62</v>
      </c>
      <c r="J57" t="s">
        <v>63</v>
      </c>
      <c r="K57">
        <v>4050000</v>
      </c>
    </row>
    <row r="58" spans="1:11" hidden="1" x14ac:dyDescent="0.3">
      <c r="A58" t="s">
        <v>246</v>
      </c>
      <c r="B58">
        <v>125528</v>
      </c>
      <c r="C58" t="s">
        <v>13</v>
      </c>
      <c r="D58" t="s">
        <v>247</v>
      </c>
      <c r="E58">
        <v>182</v>
      </c>
      <c r="F58" s="1">
        <v>0.12638888888888888</v>
      </c>
      <c r="G58" t="b">
        <v>0</v>
      </c>
      <c r="H58" t="s">
        <v>248</v>
      </c>
      <c r="I58" t="s">
        <v>249</v>
      </c>
      <c r="J58" t="s">
        <v>250</v>
      </c>
      <c r="K58" s="3">
        <v>297000</v>
      </c>
    </row>
    <row r="59" spans="1:11" hidden="1" x14ac:dyDescent="0.3">
      <c r="A59" t="s">
        <v>251</v>
      </c>
      <c r="B59">
        <v>29890943</v>
      </c>
      <c r="C59" t="s">
        <v>13</v>
      </c>
      <c r="D59" t="s">
        <v>252</v>
      </c>
      <c r="E59">
        <v>171</v>
      </c>
      <c r="F59" s="1">
        <v>0.11874999999999999</v>
      </c>
      <c r="G59" t="b">
        <v>0</v>
      </c>
      <c r="H59" t="s">
        <v>253</v>
      </c>
      <c r="I59" t="s">
        <v>254</v>
      </c>
      <c r="J59" t="s">
        <v>255</v>
      </c>
      <c r="K59" s="3">
        <v>37800000</v>
      </c>
    </row>
    <row r="60" spans="1:11" hidden="1" x14ac:dyDescent="0.3">
      <c r="A60" t="s">
        <v>256</v>
      </c>
      <c r="B60">
        <v>30313088</v>
      </c>
      <c r="C60" t="s">
        <v>13</v>
      </c>
      <c r="D60" t="s">
        <v>257</v>
      </c>
      <c r="E60">
        <v>194</v>
      </c>
      <c r="F60" s="1">
        <v>0.13472222222222222</v>
      </c>
      <c r="G60" t="b">
        <v>0</v>
      </c>
      <c r="H60" t="s">
        <v>258</v>
      </c>
      <c r="I60" t="s">
        <v>259</v>
      </c>
      <c r="J60" t="s">
        <v>260</v>
      </c>
      <c r="K60" s="3">
        <v>2680000</v>
      </c>
    </row>
    <row r="61" spans="1:11" hidden="1" x14ac:dyDescent="0.3">
      <c r="A61" t="s">
        <v>261</v>
      </c>
      <c r="B61">
        <v>30192542</v>
      </c>
      <c r="C61" t="s">
        <v>13</v>
      </c>
      <c r="D61" t="s">
        <v>262</v>
      </c>
      <c r="E61">
        <v>166</v>
      </c>
      <c r="F61" s="1">
        <v>0.11527777777777778</v>
      </c>
      <c r="G61" t="b">
        <v>0</v>
      </c>
      <c r="H61" t="s">
        <v>263</v>
      </c>
      <c r="I61" t="s">
        <v>232</v>
      </c>
      <c r="J61" t="s">
        <v>233</v>
      </c>
      <c r="K61" s="3">
        <v>5360000</v>
      </c>
    </row>
    <row r="62" spans="1:11" hidden="1" x14ac:dyDescent="0.3">
      <c r="A62" t="s">
        <v>264</v>
      </c>
      <c r="B62">
        <v>30012095</v>
      </c>
      <c r="C62" t="s">
        <v>13</v>
      </c>
      <c r="D62" t="s">
        <v>265</v>
      </c>
      <c r="E62">
        <v>235</v>
      </c>
      <c r="F62" s="1">
        <v>0.16319444444444445</v>
      </c>
      <c r="G62" t="b">
        <v>0</v>
      </c>
      <c r="H62" t="s">
        <v>266</v>
      </c>
      <c r="I62" t="s">
        <v>222</v>
      </c>
      <c r="J62" t="s">
        <v>223</v>
      </c>
      <c r="K62" s="3">
        <v>6320000</v>
      </c>
    </row>
    <row r="63" spans="1:11" x14ac:dyDescent="0.3">
      <c r="A63" t="s">
        <v>267</v>
      </c>
      <c r="B63" s="3">
        <v>158325692</v>
      </c>
      <c r="C63" s="3" t="s">
        <v>13</v>
      </c>
      <c r="D63" t="s">
        <v>268</v>
      </c>
      <c r="E63" s="3">
        <v>249</v>
      </c>
      <c r="F63" s="4">
        <v>0.17291666666666666</v>
      </c>
      <c r="G63" t="b">
        <v>0</v>
      </c>
      <c r="H63" t="s">
        <v>269</v>
      </c>
      <c r="I63" t="s">
        <v>270</v>
      </c>
      <c r="J63" t="s">
        <v>271</v>
      </c>
      <c r="K63" s="3">
        <v>61500000</v>
      </c>
    </row>
    <row r="64" spans="1:11" hidden="1" x14ac:dyDescent="0.3">
      <c r="A64" t="s">
        <v>272</v>
      </c>
      <c r="B64">
        <v>899024</v>
      </c>
      <c r="C64" t="s">
        <v>13</v>
      </c>
      <c r="D64" t="s">
        <v>273</v>
      </c>
      <c r="E64">
        <v>158</v>
      </c>
      <c r="F64" s="1">
        <v>0.10972222222222222</v>
      </c>
      <c r="G64" t="b">
        <v>0</v>
      </c>
      <c r="H64" t="s">
        <v>274</v>
      </c>
      <c r="I64" t="s">
        <v>275</v>
      </c>
      <c r="J64" t="s">
        <v>276</v>
      </c>
      <c r="K64" s="3">
        <v>6100</v>
      </c>
    </row>
    <row r="65" spans="1:11" hidden="1" x14ac:dyDescent="0.3">
      <c r="A65" t="s">
        <v>277</v>
      </c>
      <c r="B65">
        <v>37464367</v>
      </c>
      <c r="C65" t="s">
        <v>13</v>
      </c>
      <c r="D65" t="s">
        <v>278</v>
      </c>
      <c r="E65">
        <v>154</v>
      </c>
      <c r="F65" s="1">
        <v>0.10694444444444444</v>
      </c>
      <c r="G65" t="b">
        <v>0</v>
      </c>
      <c r="H65" t="s">
        <v>279</v>
      </c>
      <c r="I65" t="s">
        <v>280</v>
      </c>
      <c r="J65" t="s">
        <v>281</v>
      </c>
      <c r="K65" s="3">
        <v>2220000</v>
      </c>
    </row>
    <row r="66" spans="1:11" hidden="1" x14ac:dyDescent="0.3">
      <c r="A66" t="s">
        <v>282</v>
      </c>
      <c r="B66">
        <v>38500113</v>
      </c>
      <c r="C66" t="s">
        <v>13</v>
      </c>
      <c r="D66" t="s">
        <v>283</v>
      </c>
      <c r="E66">
        <v>253</v>
      </c>
      <c r="F66" s="1">
        <v>0.17569444444444443</v>
      </c>
      <c r="G66" t="b">
        <v>0</v>
      </c>
      <c r="H66" t="s">
        <v>284</v>
      </c>
      <c r="I66" t="s">
        <v>285</v>
      </c>
      <c r="J66" t="s">
        <v>286</v>
      </c>
      <c r="K66" s="3">
        <v>514000</v>
      </c>
    </row>
    <row r="67" spans="1:11" hidden="1" x14ac:dyDescent="0.3">
      <c r="A67" t="s">
        <v>287</v>
      </c>
      <c r="B67">
        <v>4637</v>
      </c>
      <c r="C67" t="s">
        <v>13</v>
      </c>
      <c r="D67" t="s">
        <v>288</v>
      </c>
      <c r="E67">
        <v>175</v>
      </c>
      <c r="F67" s="1">
        <v>0.12152777777777778</v>
      </c>
      <c r="G67" t="b">
        <v>0</v>
      </c>
      <c r="H67" t="s">
        <v>289</v>
      </c>
      <c r="I67" t="s">
        <v>290</v>
      </c>
      <c r="J67" t="s">
        <v>291</v>
      </c>
      <c r="K67" s="3">
        <v>605000</v>
      </c>
    </row>
    <row r="68" spans="1:11" hidden="1" x14ac:dyDescent="0.3">
      <c r="A68" t="s">
        <v>292</v>
      </c>
      <c r="B68">
        <v>33919328</v>
      </c>
      <c r="C68" t="s">
        <v>13</v>
      </c>
      <c r="D68" t="s">
        <v>293</v>
      </c>
      <c r="E68">
        <v>211</v>
      </c>
      <c r="F68" s="1">
        <v>0.14652777777777778</v>
      </c>
      <c r="G68" t="b">
        <v>0</v>
      </c>
      <c r="H68" t="s">
        <v>294</v>
      </c>
      <c r="I68" t="s">
        <v>100</v>
      </c>
      <c r="J68" t="s">
        <v>101</v>
      </c>
      <c r="K68" s="3">
        <v>16100000</v>
      </c>
    </row>
    <row r="69" spans="1:11" hidden="1" x14ac:dyDescent="0.3">
      <c r="A69" t="s">
        <v>295</v>
      </c>
      <c r="B69">
        <v>37164</v>
      </c>
      <c r="C69" t="s">
        <v>13</v>
      </c>
      <c r="D69" t="s">
        <v>296</v>
      </c>
      <c r="E69">
        <v>229</v>
      </c>
      <c r="F69" s="1">
        <v>0.15902777777777777</v>
      </c>
      <c r="G69" t="b">
        <v>0</v>
      </c>
      <c r="H69" t="s">
        <v>297</v>
      </c>
      <c r="I69" t="s">
        <v>298</v>
      </c>
      <c r="J69" t="s">
        <v>299</v>
      </c>
      <c r="K69" s="3">
        <v>43</v>
      </c>
    </row>
    <row r="70" spans="1:11" hidden="1" x14ac:dyDescent="0.3">
      <c r="A70" t="s">
        <v>300</v>
      </c>
      <c r="B70">
        <v>29225841</v>
      </c>
      <c r="C70" t="s">
        <v>13</v>
      </c>
      <c r="D70" t="s">
        <v>301</v>
      </c>
      <c r="E70">
        <v>252</v>
      </c>
      <c r="F70" s="1">
        <v>0.17499999999999999</v>
      </c>
      <c r="G70" t="b">
        <v>0</v>
      </c>
      <c r="H70" t="s">
        <v>302</v>
      </c>
      <c r="I70" t="s">
        <v>303</v>
      </c>
      <c r="J70" t="s">
        <v>304</v>
      </c>
      <c r="K70" s="3">
        <v>19900000</v>
      </c>
    </row>
    <row r="71" spans="1:11" hidden="1" x14ac:dyDescent="0.3">
      <c r="A71" t="s">
        <v>305</v>
      </c>
      <c r="B71">
        <v>25353734</v>
      </c>
      <c r="C71" t="s">
        <v>13</v>
      </c>
      <c r="D71" t="s">
        <v>306</v>
      </c>
      <c r="E71">
        <v>219</v>
      </c>
      <c r="F71" s="1">
        <v>0.15208333333333332</v>
      </c>
      <c r="G71" t="b">
        <v>0</v>
      </c>
      <c r="H71" t="s">
        <v>307</v>
      </c>
      <c r="I71" t="s">
        <v>308</v>
      </c>
      <c r="J71" t="s">
        <v>309</v>
      </c>
      <c r="K71" s="3">
        <v>203000</v>
      </c>
    </row>
    <row r="72" spans="1:11" hidden="1" x14ac:dyDescent="0.3">
      <c r="A72" t="s">
        <v>310</v>
      </c>
      <c r="B72">
        <v>55388007</v>
      </c>
      <c r="C72" t="s">
        <v>13</v>
      </c>
      <c r="D72" t="s">
        <v>311</v>
      </c>
      <c r="E72">
        <v>182</v>
      </c>
      <c r="F72" s="1">
        <v>0.12638888888888888</v>
      </c>
      <c r="G72" t="b">
        <v>0</v>
      </c>
      <c r="H72" t="s">
        <v>312</v>
      </c>
      <c r="I72" t="s">
        <v>222</v>
      </c>
      <c r="J72" t="s">
        <v>223</v>
      </c>
      <c r="K72" s="3">
        <v>6320000</v>
      </c>
    </row>
    <row r="73" spans="1:11" hidden="1" x14ac:dyDescent="0.3">
      <c r="A73" t="s">
        <v>313</v>
      </c>
      <c r="B73">
        <v>32203892</v>
      </c>
      <c r="C73" t="s">
        <v>13</v>
      </c>
      <c r="D73" t="s">
        <v>314</v>
      </c>
      <c r="E73">
        <v>207</v>
      </c>
      <c r="F73" s="1">
        <v>0.14374999999999999</v>
      </c>
      <c r="G73" t="b">
        <v>0</v>
      </c>
      <c r="H73" t="s">
        <v>315</v>
      </c>
      <c r="I73" t="s">
        <v>154</v>
      </c>
      <c r="J73" t="s">
        <v>316</v>
      </c>
      <c r="K73" s="3">
        <v>391000</v>
      </c>
    </row>
    <row r="74" spans="1:11" hidden="1" x14ac:dyDescent="0.3">
      <c r="A74" t="s">
        <v>317</v>
      </c>
      <c r="B74">
        <v>667846</v>
      </c>
      <c r="C74" t="s">
        <v>13</v>
      </c>
      <c r="D74" t="s">
        <v>318</v>
      </c>
      <c r="E74">
        <v>120</v>
      </c>
      <c r="F74" s="1">
        <v>8.3333333333333329E-2</v>
      </c>
      <c r="G74" t="b">
        <v>0</v>
      </c>
      <c r="H74" t="s">
        <v>319</v>
      </c>
      <c r="I74" t="s">
        <v>320</v>
      </c>
      <c r="J74" t="s">
        <v>321</v>
      </c>
      <c r="K74" s="3">
        <v>23900</v>
      </c>
    </row>
    <row r="75" spans="1:11" hidden="1" x14ac:dyDescent="0.3">
      <c r="A75" t="s">
        <v>322</v>
      </c>
      <c r="B75">
        <v>46125355</v>
      </c>
      <c r="C75" t="s">
        <v>13</v>
      </c>
      <c r="D75" t="s">
        <v>323</v>
      </c>
      <c r="E75">
        <v>261</v>
      </c>
      <c r="F75" s="1">
        <v>0.18124999999999999</v>
      </c>
      <c r="G75" t="b">
        <v>0</v>
      </c>
      <c r="H75" t="s">
        <v>324</v>
      </c>
      <c r="I75" t="s">
        <v>21</v>
      </c>
      <c r="J75" t="s">
        <v>22</v>
      </c>
      <c r="K75" s="3">
        <v>29600000</v>
      </c>
    </row>
    <row r="76" spans="1:11" hidden="1" x14ac:dyDescent="0.3">
      <c r="A76" t="s">
        <v>325</v>
      </c>
      <c r="B76">
        <v>111453988</v>
      </c>
      <c r="C76" t="s">
        <v>13</v>
      </c>
      <c r="D76" t="s">
        <v>326</v>
      </c>
      <c r="E76">
        <v>158</v>
      </c>
      <c r="F76" s="1">
        <v>0.10972222222222222</v>
      </c>
      <c r="G76" t="b">
        <v>0</v>
      </c>
      <c r="H76" t="s">
        <v>327</v>
      </c>
      <c r="I76" t="s">
        <v>328</v>
      </c>
      <c r="J76" t="s">
        <v>329</v>
      </c>
      <c r="K76" s="3">
        <v>5070000</v>
      </c>
    </row>
    <row r="77" spans="1:11" hidden="1" x14ac:dyDescent="0.3">
      <c r="A77" t="s">
        <v>330</v>
      </c>
      <c r="B77">
        <v>46253970</v>
      </c>
      <c r="C77" t="s">
        <v>13</v>
      </c>
      <c r="E77">
        <v>240</v>
      </c>
      <c r="F77" s="1">
        <v>0.16666666666666666</v>
      </c>
      <c r="G77" t="b">
        <v>0</v>
      </c>
      <c r="H77" t="s">
        <v>331</v>
      </c>
      <c r="I77" t="s">
        <v>332</v>
      </c>
      <c r="J77" t="s">
        <v>333</v>
      </c>
      <c r="K77" s="3">
        <v>28100000</v>
      </c>
    </row>
    <row r="78" spans="1:11" x14ac:dyDescent="0.3">
      <c r="A78" t="s">
        <v>334</v>
      </c>
      <c r="B78" s="3">
        <v>208325690</v>
      </c>
      <c r="C78" s="3" t="s">
        <v>13</v>
      </c>
      <c r="D78" t="s">
        <v>335</v>
      </c>
      <c r="E78" s="3">
        <v>147</v>
      </c>
      <c r="F78" s="4">
        <v>0.10208333333333333</v>
      </c>
      <c r="G78" t="b">
        <v>0</v>
      </c>
      <c r="H78" t="s">
        <v>336</v>
      </c>
      <c r="I78" t="s">
        <v>100</v>
      </c>
      <c r="J78" t="s">
        <v>101</v>
      </c>
      <c r="K78" s="3">
        <v>16100000</v>
      </c>
    </row>
    <row r="79" spans="1:11" hidden="1" x14ac:dyDescent="0.3">
      <c r="A79" t="s">
        <v>337</v>
      </c>
      <c r="B79">
        <v>23070337</v>
      </c>
      <c r="C79" t="s">
        <v>13</v>
      </c>
      <c r="D79" t="s">
        <v>217</v>
      </c>
      <c r="E79">
        <v>320</v>
      </c>
      <c r="F79" s="1">
        <v>0.22222222222222221</v>
      </c>
      <c r="G79" t="b">
        <v>0</v>
      </c>
      <c r="H79" t="s">
        <v>338</v>
      </c>
      <c r="I79" t="s">
        <v>202</v>
      </c>
      <c r="J79" t="s">
        <v>203</v>
      </c>
      <c r="K79" s="3">
        <v>38700000</v>
      </c>
    </row>
    <row r="80" spans="1:11" hidden="1" x14ac:dyDescent="0.3">
      <c r="A80" t="s">
        <v>339</v>
      </c>
      <c r="B80">
        <v>6174</v>
      </c>
      <c r="C80" t="s">
        <v>13</v>
      </c>
      <c r="D80" t="s">
        <v>340</v>
      </c>
      <c r="E80">
        <v>169</v>
      </c>
      <c r="F80" s="1">
        <v>0.11736111111111111</v>
      </c>
      <c r="G80" t="b">
        <v>0</v>
      </c>
      <c r="H80" t="s">
        <v>341</v>
      </c>
      <c r="I80" t="s">
        <v>342</v>
      </c>
      <c r="J80" t="s">
        <v>343</v>
      </c>
      <c r="K80" s="3">
        <v>1200</v>
      </c>
    </row>
    <row r="81" spans="1:11" hidden="1" x14ac:dyDescent="0.3">
      <c r="A81" t="s">
        <v>344</v>
      </c>
      <c r="B81">
        <v>30301956</v>
      </c>
      <c r="C81" t="s">
        <v>13</v>
      </c>
      <c r="D81" t="s">
        <v>345</v>
      </c>
      <c r="E81">
        <v>167</v>
      </c>
      <c r="F81" s="1">
        <v>0.11597222222222223</v>
      </c>
      <c r="G81" t="b">
        <v>0</v>
      </c>
      <c r="H81" t="s">
        <v>346</v>
      </c>
      <c r="I81" t="s">
        <v>347</v>
      </c>
      <c r="J81" t="s">
        <v>348</v>
      </c>
      <c r="K81" s="3">
        <v>32900000</v>
      </c>
    </row>
    <row r="82" spans="1:11" hidden="1" x14ac:dyDescent="0.3">
      <c r="A82" t="s">
        <v>349</v>
      </c>
      <c r="B82">
        <v>24709753</v>
      </c>
      <c r="C82" t="s">
        <v>13</v>
      </c>
      <c r="D82" t="s">
        <v>350</v>
      </c>
      <c r="E82">
        <v>176</v>
      </c>
      <c r="F82" s="1">
        <v>0.12222222222222222</v>
      </c>
      <c r="G82" t="b">
        <v>0</v>
      </c>
      <c r="H82" t="s">
        <v>351</v>
      </c>
      <c r="I82" t="s">
        <v>352</v>
      </c>
      <c r="J82" t="s">
        <v>353</v>
      </c>
      <c r="K82" s="3">
        <v>76200000</v>
      </c>
    </row>
    <row r="83" spans="1:11" hidden="1" x14ac:dyDescent="0.3">
      <c r="A83" t="s">
        <v>354</v>
      </c>
      <c r="B83">
        <v>44470482</v>
      </c>
      <c r="C83" t="s">
        <v>13</v>
      </c>
      <c r="D83" t="s">
        <v>36</v>
      </c>
      <c r="E83">
        <v>172</v>
      </c>
      <c r="F83" s="1">
        <v>0.11944444444444445</v>
      </c>
      <c r="G83" t="b">
        <v>0</v>
      </c>
      <c r="H83" t="s">
        <v>355</v>
      </c>
      <c r="I83" t="s">
        <v>38</v>
      </c>
      <c r="J83" t="s">
        <v>39</v>
      </c>
      <c r="K83" s="3">
        <v>12300000</v>
      </c>
    </row>
    <row r="84" spans="1:11" hidden="1" x14ac:dyDescent="0.3">
      <c r="A84" t="s">
        <v>356</v>
      </c>
      <c r="B84">
        <v>80373280</v>
      </c>
      <c r="C84" t="s">
        <v>13</v>
      </c>
      <c r="D84" t="s">
        <v>357</v>
      </c>
      <c r="E84">
        <v>187</v>
      </c>
      <c r="F84" s="1">
        <v>0.12986111111111112</v>
      </c>
      <c r="G84" t="b">
        <v>0</v>
      </c>
      <c r="H84" t="s">
        <v>358</v>
      </c>
      <c r="I84" t="s">
        <v>359</v>
      </c>
      <c r="J84" t="s">
        <v>360</v>
      </c>
      <c r="K84" s="3">
        <v>24400000</v>
      </c>
    </row>
    <row r="85" spans="1:11" hidden="1" x14ac:dyDescent="0.3">
      <c r="A85" t="s">
        <v>361</v>
      </c>
      <c r="B85">
        <v>20923612</v>
      </c>
      <c r="C85" t="s">
        <v>13</v>
      </c>
      <c r="D85" t="s">
        <v>362</v>
      </c>
      <c r="E85">
        <v>187</v>
      </c>
      <c r="F85" s="1">
        <v>0.12986111111111112</v>
      </c>
      <c r="G85" t="b">
        <v>0</v>
      </c>
      <c r="H85" t="s">
        <v>363</v>
      </c>
      <c r="I85" t="s">
        <v>38</v>
      </c>
      <c r="J85" t="s">
        <v>39</v>
      </c>
      <c r="K85" s="3">
        <v>12300000</v>
      </c>
    </row>
    <row r="86" spans="1:11" hidden="1" x14ac:dyDescent="0.3">
      <c r="A86" t="s">
        <v>364</v>
      </c>
      <c r="B86">
        <v>35211939</v>
      </c>
      <c r="C86" t="s">
        <v>13</v>
      </c>
      <c r="D86" t="s">
        <v>365</v>
      </c>
      <c r="E86">
        <v>180</v>
      </c>
      <c r="F86" s="1">
        <v>0.125</v>
      </c>
      <c r="G86" t="b">
        <v>0</v>
      </c>
      <c r="H86" t="s">
        <v>366</v>
      </c>
      <c r="I86" t="s">
        <v>367</v>
      </c>
      <c r="J86" t="s">
        <v>368</v>
      </c>
      <c r="K86" s="3">
        <v>4350000</v>
      </c>
    </row>
    <row r="87" spans="1:11" hidden="1" x14ac:dyDescent="0.3">
      <c r="A87" t="s">
        <v>369</v>
      </c>
      <c r="B87">
        <v>1161</v>
      </c>
      <c r="C87" t="s">
        <v>13</v>
      </c>
      <c r="D87" t="s">
        <v>370</v>
      </c>
      <c r="E87">
        <v>184</v>
      </c>
      <c r="F87" s="1">
        <v>0.12777777777777777</v>
      </c>
      <c r="G87" t="b">
        <v>0</v>
      </c>
      <c r="H87" t="s">
        <v>371</v>
      </c>
      <c r="I87" t="s">
        <v>372</v>
      </c>
      <c r="J87" t="s">
        <v>373</v>
      </c>
      <c r="K87" s="3">
        <v>1</v>
      </c>
    </row>
    <row r="88" spans="1:11" hidden="1" x14ac:dyDescent="0.3">
      <c r="A88" t="s">
        <v>374</v>
      </c>
      <c r="B88">
        <v>34725855</v>
      </c>
      <c r="C88" t="s">
        <v>13</v>
      </c>
      <c r="D88" t="s">
        <v>36</v>
      </c>
      <c r="E88">
        <v>223</v>
      </c>
      <c r="F88" s="1">
        <v>0.15486111111111112</v>
      </c>
      <c r="G88" t="b">
        <v>0</v>
      </c>
      <c r="H88" t="s">
        <v>375</v>
      </c>
      <c r="I88" t="s">
        <v>38</v>
      </c>
      <c r="J88" t="s">
        <v>39</v>
      </c>
      <c r="K88" s="3">
        <v>12300000</v>
      </c>
    </row>
    <row r="89" spans="1:11" hidden="1" x14ac:dyDescent="0.3">
      <c r="A89" t="s">
        <v>376</v>
      </c>
      <c r="B89">
        <v>18154200</v>
      </c>
      <c r="C89" t="s">
        <v>13</v>
      </c>
      <c r="E89">
        <v>157</v>
      </c>
      <c r="F89" s="1">
        <v>0.10902777777777778</v>
      </c>
      <c r="G89" t="b">
        <v>0</v>
      </c>
      <c r="H89" t="s">
        <v>377</v>
      </c>
      <c r="I89" t="s">
        <v>197</v>
      </c>
      <c r="J89" t="s">
        <v>198</v>
      </c>
      <c r="K89" s="3">
        <v>27600000</v>
      </c>
    </row>
    <row r="90" spans="1:11" hidden="1" x14ac:dyDescent="0.3">
      <c r="A90" t="s">
        <v>378</v>
      </c>
      <c r="B90">
        <v>26261465</v>
      </c>
      <c r="C90" t="s">
        <v>13</v>
      </c>
      <c r="D90" t="s">
        <v>379</v>
      </c>
      <c r="E90">
        <v>204</v>
      </c>
      <c r="F90" s="1">
        <v>0.14166666666666666</v>
      </c>
      <c r="G90" t="b">
        <v>0</v>
      </c>
      <c r="H90" t="s">
        <v>380</v>
      </c>
      <c r="I90" t="s">
        <v>381</v>
      </c>
      <c r="J90" t="s">
        <v>382</v>
      </c>
      <c r="K90" s="3">
        <v>1900000</v>
      </c>
    </row>
    <row r="91" spans="1:11" hidden="1" x14ac:dyDescent="0.3">
      <c r="A91" t="s">
        <v>383</v>
      </c>
      <c r="B91">
        <v>7826393</v>
      </c>
      <c r="C91" t="s">
        <v>13</v>
      </c>
      <c r="D91" t="s">
        <v>384</v>
      </c>
      <c r="E91">
        <v>195</v>
      </c>
      <c r="F91" s="1">
        <v>0.13541666666666666</v>
      </c>
      <c r="G91" t="b">
        <v>0</v>
      </c>
      <c r="H91" t="s">
        <v>385</v>
      </c>
      <c r="I91" t="s">
        <v>328</v>
      </c>
      <c r="J91" t="s">
        <v>329</v>
      </c>
      <c r="K91" s="3">
        <v>5070000</v>
      </c>
    </row>
    <row r="92" spans="1:11" hidden="1" x14ac:dyDescent="0.3">
      <c r="A92" t="s">
        <v>386</v>
      </c>
      <c r="B92">
        <v>19166284</v>
      </c>
      <c r="C92" t="s">
        <v>13</v>
      </c>
      <c r="D92" t="s">
        <v>387</v>
      </c>
      <c r="E92">
        <v>161</v>
      </c>
      <c r="F92" s="1">
        <v>0.11180555555555556</v>
      </c>
      <c r="G92" t="b">
        <v>0</v>
      </c>
      <c r="H92" t="s">
        <v>388</v>
      </c>
      <c r="I92" t="s">
        <v>389</v>
      </c>
      <c r="J92" t="s">
        <v>390</v>
      </c>
      <c r="K92" s="3">
        <v>56400000</v>
      </c>
    </row>
    <row r="93" spans="1:11" hidden="1" x14ac:dyDescent="0.3">
      <c r="A93" t="s">
        <v>391</v>
      </c>
      <c r="B93">
        <v>8687</v>
      </c>
      <c r="C93" t="s">
        <v>13</v>
      </c>
      <c r="E93">
        <v>194</v>
      </c>
      <c r="F93" s="1">
        <v>0.13472222222222222</v>
      </c>
      <c r="G93" t="b">
        <v>0</v>
      </c>
      <c r="H93" t="s">
        <v>392</v>
      </c>
      <c r="I93" t="s">
        <v>393</v>
      </c>
      <c r="J93" t="s">
        <v>394</v>
      </c>
      <c r="K93" s="3">
        <v>2120</v>
      </c>
    </row>
    <row r="94" spans="1:11" hidden="1" x14ac:dyDescent="0.3">
      <c r="A94" t="s">
        <v>395</v>
      </c>
      <c r="B94">
        <v>46131082</v>
      </c>
      <c r="C94" t="s">
        <v>13</v>
      </c>
      <c r="D94" t="s">
        <v>396</v>
      </c>
      <c r="E94">
        <v>259</v>
      </c>
      <c r="F94" s="1">
        <v>0.17986111111111111</v>
      </c>
      <c r="G94" t="b">
        <v>0</v>
      </c>
      <c r="H94" t="s">
        <v>397</v>
      </c>
      <c r="I94" t="s">
        <v>270</v>
      </c>
      <c r="J94" t="s">
        <v>271</v>
      </c>
      <c r="K94" s="3">
        <v>61500000</v>
      </c>
    </row>
    <row r="95" spans="1:11" hidden="1" x14ac:dyDescent="0.3">
      <c r="A95" t="s">
        <v>398</v>
      </c>
      <c r="B95">
        <v>18620923</v>
      </c>
      <c r="C95" t="s">
        <v>13</v>
      </c>
      <c r="D95" t="s">
        <v>399</v>
      </c>
      <c r="E95">
        <v>175</v>
      </c>
      <c r="F95" s="1">
        <v>0.12152777777777778</v>
      </c>
      <c r="G95" t="b">
        <v>0</v>
      </c>
      <c r="H95" t="s">
        <v>400</v>
      </c>
      <c r="I95" t="s">
        <v>401</v>
      </c>
      <c r="J95" t="s">
        <v>402</v>
      </c>
      <c r="K95" s="3">
        <v>35500000</v>
      </c>
    </row>
    <row r="96" spans="1:11" hidden="1" x14ac:dyDescent="0.3">
      <c r="A96" t="s">
        <v>403</v>
      </c>
      <c r="B96">
        <v>21968615</v>
      </c>
      <c r="C96" t="s">
        <v>13</v>
      </c>
      <c r="D96" t="s">
        <v>404</v>
      </c>
      <c r="E96">
        <v>183</v>
      </c>
      <c r="F96" s="1">
        <v>0.12708333333333333</v>
      </c>
      <c r="G96" t="b">
        <v>0</v>
      </c>
      <c r="H96" t="s">
        <v>405</v>
      </c>
      <c r="I96" t="s">
        <v>352</v>
      </c>
      <c r="J96" t="s">
        <v>406</v>
      </c>
      <c r="K96" s="3">
        <v>76200000</v>
      </c>
    </row>
    <row r="97" spans="1:11" hidden="1" x14ac:dyDescent="0.3">
      <c r="A97" t="s">
        <v>407</v>
      </c>
      <c r="B97">
        <v>18245315</v>
      </c>
      <c r="C97" t="s">
        <v>13</v>
      </c>
      <c r="D97" t="s">
        <v>387</v>
      </c>
      <c r="E97">
        <v>202</v>
      </c>
      <c r="F97" s="1">
        <v>0.14027777777777778</v>
      </c>
      <c r="G97" t="b">
        <v>0</v>
      </c>
      <c r="H97" t="s">
        <v>408</v>
      </c>
      <c r="I97" t="s">
        <v>389</v>
      </c>
      <c r="J97" t="s">
        <v>390</v>
      </c>
      <c r="K97" s="3">
        <v>56400000</v>
      </c>
    </row>
    <row r="98" spans="1:11" hidden="1" x14ac:dyDescent="0.3">
      <c r="A98" t="s">
        <v>409</v>
      </c>
      <c r="B98">
        <v>31456772</v>
      </c>
      <c r="C98" t="s">
        <v>13</v>
      </c>
      <c r="D98" t="s">
        <v>410</v>
      </c>
      <c r="E98">
        <v>234</v>
      </c>
      <c r="F98" s="1">
        <v>0.16250000000000001</v>
      </c>
      <c r="G98" t="b">
        <v>0</v>
      </c>
      <c r="H98" t="s">
        <v>411</v>
      </c>
      <c r="I98" t="s">
        <v>141</v>
      </c>
      <c r="J98" t="s">
        <v>142</v>
      </c>
      <c r="K98" s="3">
        <v>1770000</v>
      </c>
    </row>
    <row r="99" spans="1:11" hidden="1" x14ac:dyDescent="0.3">
      <c r="A99" t="s">
        <v>412</v>
      </c>
      <c r="B99">
        <v>66051</v>
      </c>
      <c r="C99" t="s">
        <v>13</v>
      </c>
      <c r="E99">
        <v>197</v>
      </c>
      <c r="F99" s="1">
        <v>0.13680555555555557</v>
      </c>
      <c r="G99" t="b">
        <v>0</v>
      </c>
      <c r="H99" t="s">
        <v>413</v>
      </c>
      <c r="I99" t="s">
        <v>414</v>
      </c>
      <c r="J99" t="s">
        <v>415</v>
      </c>
      <c r="K99" s="3">
        <v>20300</v>
      </c>
    </row>
    <row r="100" spans="1:11" hidden="1" x14ac:dyDescent="0.3">
      <c r="A100" t="s">
        <v>416</v>
      </c>
      <c r="B100">
        <v>16952860</v>
      </c>
      <c r="C100" t="s">
        <v>13</v>
      </c>
      <c r="D100" t="s">
        <v>417</v>
      </c>
      <c r="E100">
        <v>155</v>
      </c>
      <c r="F100" s="1">
        <v>0.1076388888888889</v>
      </c>
      <c r="G100" t="b">
        <v>0</v>
      </c>
      <c r="H100" t="s">
        <v>418</v>
      </c>
      <c r="I100" t="s">
        <v>417</v>
      </c>
      <c r="J100" t="s">
        <v>419</v>
      </c>
      <c r="K100" s="3">
        <v>5200000</v>
      </c>
    </row>
    <row r="101" spans="1:11" hidden="1" x14ac:dyDescent="0.3">
      <c r="A101" t="s">
        <v>420</v>
      </c>
      <c r="B101">
        <v>16971256</v>
      </c>
      <c r="C101" t="s">
        <v>13</v>
      </c>
      <c r="D101" t="s">
        <v>421</v>
      </c>
      <c r="E101">
        <v>161</v>
      </c>
      <c r="F101" s="1">
        <v>0.11180555555555556</v>
      </c>
      <c r="G101" t="b">
        <v>0</v>
      </c>
      <c r="H101" t="s">
        <v>422</v>
      </c>
      <c r="I101" t="s">
        <v>401</v>
      </c>
      <c r="J101" t="s">
        <v>402</v>
      </c>
      <c r="K101" s="3">
        <v>35500000</v>
      </c>
    </row>
  </sheetData>
  <autoFilter ref="A1:K101" xr:uid="{A28A39D6-6E90-456E-BCC7-0FB9BD4B06BE}">
    <filterColumn colId="1">
      <customFilters>
        <customFilter operator="greaterThan" val="100000000"/>
      </customFilters>
    </filterColumn>
    <filterColumn colId="2">
      <filters>
        <filter val="Music"/>
      </filters>
    </filterColumn>
    <filterColumn colId="10">
      <customFilters>
        <customFilter operator="greaterThan" val="1000000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5730-E8CC-4C20-B62E-629B76CC3C6D}">
  <dimension ref="A1:L101"/>
  <sheetViews>
    <sheetView zoomScale="67" workbookViewId="0">
      <selection sqref="A1:L101"/>
    </sheetView>
  </sheetViews>
  <sheetFormatPr defaultRowHeight="14.4" x14ac:dyDescent="0.3"/>
  <cols>
    <col min="1" max="1" width="52.6640625" customWidth="1"/>
    <col min="2" max="2" width="19.5546875" style="3" customWidth="1"/>
    <col min="3" max="3" width="22.109375" style="3" customWidth="1"/>
    <col min="4" max="4" width="25.109375" customWidth="1"/>
    <col min="5" max="5" width="13" customWidth="1"/>
    <col min="6" max="6" width="17.5546875" customWidth="1"/>
    <col min="7" max="7" width="18.88671875" customWidth="1"/>
    <col min="8" max="8" width="11.6640625" customWidth="1"/>
    <col min="9" max="9" width="28" customWidth="1"/>
    <col min="10" max="10" width="15.109375" customWidth="1"/>
    <col min="11" max="11" width="17.88671875" customWidth="1"/>
    <col min="12" max="12" width="29.44140625" customWidth="1"/>
  </cols>
  <sheetData>
    <row r="1" spans="1:12" s="2" customFormat="1" ht="17.399999999999999" x14ac:dyDescent="0.35">
      <c r="A1" s="2" t="s">
        <v>423</v>
      </c>
      <c r="B1" s="2" t="s">
        <v>424</v>
      </c>
      <c r="C1" s="2" t="s">
        <v>425</v>
      </c>
      <c r="D1" s="2" t="s">
        <v>426</v>
      </c>
      <c r="E1" s="2" t="s">
        <v>427</v>
      </c>
      <c r="F1" s="2" t="s">
        <v>428</v>
      </c>
      <c r="G1" s="2" t="s">
        <v>429</v>
      </c>
      <c r="H1" s="2" t="s">
        <v>430</v>
      </c>
      <c r="I1" s="2" t="s">
        <v>431</v>
      </c>
      <c r="J1" s="2" t="s">
        <v>431</v>
      </c>
      <c r="K1" s="2" t="s">
        <v>432</v>
      </c>
      <c r="L1" s="2" t="s">
        <v>433</v>
      </c>
    </row>
    <row r="2" spans="1:12" x14ac:dyDescent="0.3">
      <c r="A2" t="s">
        <v>442</v>
      </c>
      <c r="B2" s="3">
        <v>2009014557</v>
      </c>
      <c r="C2" s="3" t="s">
        <v>13</v>
      </c>
      <c r="D2" t="s">
        <v>449</v>
      </c>
      <c r="E2" s="3">
        <v>173</v>
      </c>
      <c r="F2" s="4">
        <v>0.12013888888888889</v>
      </c>
      <c r="G2" t="b">
        <v>0</v>
      </c>
      <c r="H2" t="s">
        <v>15</v>
      </c>
      <c r="I2" t="s">
        <v>436</v>
      </c>
      <c r="J2" t="str">
        <f>CLEAN(TRIM(I2))</f>
        <v>ROSA</v>
      </c>
      <c r="K2" s="5" t="s">
        <v>17</v>
      </c>
      <c r="L2" s="3">
        <v>19200000</v>
      </c>
    </row>
    <row r="3" spans="1:12" x14ac:dyDescent="0.3">
      <c r="A3" t="s">
        <v>18</v>
      </c>
      <c r="B3" s="3">
        <v>1324833300</v>
      </c>
      <c r="C3" s="3" t="s">
        <v>13</v>
      </c>
      <c r="D3" t="s">
        <v>19</v>
      </c>
      <c r="E3" s="3">
        <v>252</v>
      </c>
      <c r="F3" s="4">
        <v>0.17499999999999999</v>
      </c>
      <c r="G3" t="b">
        <v>0</v>
      </c>
      <c r="H3" t="s">
        <v>20</v>
      </c>
      <c r="I3" t="s">
        <v>21</v>
      </c>
      <c r="J3" t="str">
        <f t="shared" ref="J3:J66" si="0">CLEAN(TRIM(I3))</f>
        <v>Lady Gaga</v>
      </c>
      <c r="K3" t="s">
        <v>22</v>
      </c>
      <c r="L3" s="3">
        <v>29600000</v>
      </c>
    </row>
    <row r="4" spans="1:12" x14ac:dyDescent="0.3">
      <c r="A4" t="s">
        <v>443</v>
      </c>
      <c r="B4" s="3">
        <v>2536628</v>
      </c>
      <c r="C4" s="3" t="s">
        <v>13</v>
      </c>
      <c r="D4" t="s">
        <v>24</v>
      </c>
      <c r="E4" s="3">
        <v>160</v>
      </c>
      <c r="F4" s="4">
        <v>0.1111111111111111</v>
      </c>
      <c r="G4" t="b">
        <v>0</v>
      </c>
      <c r="H4" t="s">
        <v>25</v>
      </c>
      <c r="I4" t="s">
        <v>437</v>
      </c>
      <c r="J4" t="str">
        <f t="shared" si="0"/>
        <v>Reneac Rapp</v>
      </c>
      <c r="K4" t="s">
        <v>27</v>
      </c>
      <c r="L4" s="3">
        <v>408000</v>
      </c>
    </row>
    <row r="5" spans="1:12" x14ac:dyDescent="0.3">
      <c r="A5" t="s">
        <v>28</v>
      </c>
      <c r="B5" s="3">
        <v>558329099</v>
      </c>
      <c r="C5" s="3" t="s">
        <v>13</v>
      </c>
      <c r="D5" t="s">
        <v>29</v>
      </c>
      <c r="E5" s="3">
        <v>231</v>
      </c>
      <c r="F5" s="4">
        <v>0.16041666666666668</v>
      </c>
      <c r="G5" t="b">
        <v>0</v>
      </c>
      <c r="H5" t="s">
        <v>30</v>
      </c>
      <c r="I5" t="s">
        <v>31</v>
      </c>
      <c r="J5" t="str">
        <f t="shared" si="0"/>
        <v>Billie Eilish</v>
      </c>
      <c r="K5" t="s">
        <v>32</v>
      </c>
      <c r="L5" s="3">
        <v>56800000</v>
      </c>
    </row>
    <row r="6" spans="1:12" x14ac:dyDescent="0.3">
      <c r="A6" t="s">
        <v>444</v>
      </c>
      <c r="B6" s="3">
        <v>2113548</v>
      </c>
      <c r="C6" s="3" t="s">
        <v>13</v>
      </c>
      <c r="D6" t="s">
        <v>24</v>
      </c>
      <c r="E6" s="3">
        <v>180</v>
      </c>
      <c r="F6" s="4">
        <v>0.125</v>
      </c>
      <c r="G6" t="b">
        <v>0</v>
      </c>
      <c r="H6" t="s">
        <v>34</v>
      </c>
      <c r="I6" t="s">
        <v>437</v>
      </c>
      <c r="J6" t="str">
        <f t="shared" si="0"/>
        <v>Reneac Rapp</v>
      </c>
      <c r="K6" t="s">
        <v>27</v>
      </c>
      <c r="L6" s="3">
        <v>408000</v>
      </c>
    </row>
    <row r="7" spans="1:12" x14ac:dyDescent="0.3">
      <c r="A7" t="s">
        <v>35</v>
      </c>
      <c r="B7" s="3">
        <v>472570966</v>
      </c>
      <c r="C7" s="3" t="s">
        <v>13</v>
      </c>
      <c r="D7" t="s">
        <v>36</v>
      </c>
      <c r="E7" s="3">
        <v>201</v>
      </c>
      <c r="F7" s="4">
        <v>0.13958333333333334</v>
      </c>
      <c r="G7" t="b">
        <v>0</v>
      </c>
      <c r="H7" t="s">
        <v>37</v>
      </c>
      <c r="I7" t="s">
        <v>38</v>
      </c>
      <c r="J7" t="str">
        <f t="shared" si="0"/>
        <v>Sabrina Carpenter</v>
      </c>
      <c r="K7" t="s">
        <v>39</v>
      </c>
      <c r="L7" s="3">
        <v>12300000</v>
      </c>
    </row>
    <row r="8" spans="1:12" x14ac:dyDescent="0.3">
      <c r="A8" t="s">
        <v>40</v>
      </c>
      <c r="B8" s="3">
        <v>191073418</v>
      </c>
      <c r="C8" s="3" t="s">
        <v>13</v>
      </c>
      <c r="D8" t="s">
        <v>450</v>
      </c>
      <c r="E8" s="3">
        <v>269</v>
      </c>
      <c r="F8" s="4">
        <v>0.18680555555555556</v>
      </c>
      <c r="G8" t="b">
        <v>0</v>
      </c>
      <c r="H8" t="s">
        <v>42</v>
      </c>
      <c r="I8" t="s">
        <v>21</v>
      </c>
      <c r="J8" t="str">
        <f t="shared" si="0"/>
        <v>Lady Gaga</v>
      </c>
      <c r="K8" t="s">
        <v>22</v>
      </c>
      <c r="L8" s="3">
        <v>29600000</v>
      </c>
    </row>
    <row r="9" spans="1:12" x14ac:dyDescent="0.3">
      <c r="A9" t="s">
        <v>43</v>
      </c>
      <c r="B9" s="3">
        <v>184696317</v>
      </c>
      <c r="C9" s="3" t="s">
        <v>13</v>
      </c>
      <c r="D9" t="s">
        <v>44</v>
      </c>
      <c r="E9" s="3">
        <v>183</v>
      </c>
      <c r="F9" s="4">
        <v>0.12708333333333333</v>
      </c>
      <c r="G9" t="b">
        <v>0</v>
      </c>
      <c r="H9" t="s">
        <v>45</v>
      </c>
      <c r="I9" t="s">
        <v>46</v>
      </c>
      <c r="J9" t="str">
        <f t="shared" si="0"/>
        <v>Ed Sheeran</v>
      </c>
      <c r="K9" t="s">
        <v>47</v>
      </c>
      <c r="L9" s="3">
        <v>58500000</v>
      </c>
    </row>
    <row r="10" spans="1:12" x14ac:dyDescent="0.3">
      <c r="A10" t="s">
        <v>48</v>
      </c>
      <c r="B10" s="3">
        <v>187281056</v>
      </c>
      <c r="C10" s="3" t="s">
        <v>49</v>
      </c>
      <c r="D10" t="s">
        <v>50</v>
      </c>
      <c r="E10" s="3">
        <v>221</v>
      </c>
      <c r="F10" s="4">
        <v>0.15347222222222223</v>
      </c>
      <c r="G10" t="b">
        <v>0</v>
      </c>
      <c r="H10" t="s">
        <v>51</v>
      </c>
      <c r="I10" t="s">
        <v>52</v>
      </c>
      <c r="J10" t="str">
        <f t="shared" si="0"/>
        <v>yung kai</v>
      </c>
      <c r="K10" t="s">
        <v>53</v>
      </c>
      <c r="L10" s="3">
        <v>1220000</v>
      </c>
    </row>
    <row r="11" spans="1:12" x14ac:dyDescent="0.3">
      <c r="A11" t="s">
        <v>54</v>
      </c>
      <c r="B11" s="3">
        <v>40408980</v>
      </c>
      <c r="C11" s="3" t="s">
        <v>13</v>
      </c>
      <c r="D11" t="s">
        <v>29</v>
      </c>
      <c r="E11" s="3">
        <v>261</v>
      </c>
      <c r="F11" s="4">
        <v>0.18124999999999999</v>
      </c>
      <c r="G11" t="b">
        <v>0</v>
      </c>
      <c r="H11" t="s">
        <v>55</v>
      </c>
      <c r="I11" t="s">
        <v>31</v>
      </c>
      <c r="J11" t="str">
        <f t="shared" si="0"/>
        <v>Billie Eilish</v>
      </c>
      <c r="K11" t="s">
        <v>32</v>
      </c>
      <c r="L11" s="3">
        <v>56800000</v>
      </c>
    </row>
    <row r="12" spans="1:12" x14ac:dyDescent="0.3">
      <c r="A12" t="s">
        <v>56</v>
      </c>
      <c r="B12" s="3">
        <v>1198540</v>
      </c>
      <c r="C12" s="3" t="s">
        <v>49</v>
      </c>
      <c r="E12" s="3">
        <v>152</v>
      </c>
      <c r="F12" s="4">
        <v>0.10555555555555556</v>
      </c>
      <c r="G12" t="b">
        <v>0</v>
      </c>
      <c r="H12" t="s">
        <v>57</v>
      </c>
      <c r="I12" t="s">
        <v>58</v>
      </c>
      <c r="J12" t="str">
        <f t="shared" si="0"/>
        <v>Zillionaire Doe</v>
      </c>
      <c r="K12" t="s">
        <v>59</v>
      </c>
      <c r="L12" s="3">
        <v>142000</v>
      </c>
    </row>
    <row r="13" spans="1:12" x14ac:dyDescent="0.3">
      <c r="A13" t="s">
        <v>60</v>
      </c>
      <c r="B13" s="3">
        <v>147871443</v>
      </c>
      <c r="C13" s="3" t="s">
        <v>49</v>
      </c>
      <c r="E13" s="3">
        <v>187</v>
      </c>
      <c r="F13" s="4">
        <v>0.12986111111111112</v>
      </c>
      <c r="G13" t="b">
        <v>0</v>
      </c>
      <c r="H13" t="s">
        <v>61</v>
      </c>
      <c r="I13" t="s">
        <v>62</v>
      </c>
      <c r="J13" t="str">
        <f t="shared" si="0"/>
        <v>Alex Warren</v>
      </c>
      <c r="K13" t="s">
        <v>63</v>
      </c>
      <c r="L13" s="3">
        <v>4050000</v>
      </c>
    </row>
    <row r="14" spans="1:12" x14ac:dyDescent="0.3">
      <c r="A14" t="s">
        <v>64</v>
      </c>
      <c r="B14" s="3">
        <v>142084039</v>
      </c>
      <c r="C14" s="3" t="s">
        <v>49</v>
      </c>
      <c r="E14" s="3">
        <v>178</v>
      </c>
      <c r="F14" s="4">
        <v>0.12361111111111112</v>
      </c>
      <c r="G14" t="b">
        <v>0</v>
      </c>
      <c r="H14" t="s">
        <v>65</v>
      </c>
      <c r="I14" t="s">
        <v>66</v>
      </c>
      <c r="J14" t="str">
        <f t="shared" si="0"/>
        <v>Kendrick Lamar</v>
      </c>
      <c r="K14" t="s">
        <v>67</v>
      </c>
      <c r="L14" s="3">
        <v>19700000</v>
      </c>
    </row>
    <row r="15" spans="1:12" x14ac:dyDescent="0.3">
      <c r="A15" t="s">
        <v>68</v>
      </c>
      <c r="B15" s="3">
        <v>288277902</v>
      </c>
      <c r="C15" s="3" t="s">
        <v>13</v>
      </c>
      <c r="D15" t="s">
        <v>69</v>
      </c>
      <c r="E15" s="3">
        <v>173</v>
      </c>
      <c r="F15" s="4">
        <v>0.12013888888888889</v>
      </c>
      <c r="G15" t="b">
        <v>0</v>
      </c>
      <c r="H15" t="s">
        <v>70</v>
      </c>
      <c r="I15" t="s">
        <v>71</v>
      </c>
      <c r="J15" t="str">
        <f t="shared" si="0"/>
        <v>Shaboozey</v>
      </c>
      <c r="K15" t="s">
        <v>72</v>
      </c>
      <c r="L15" s="3">
        <v>955000</v>
      </c>
    </row>
    <row r="16" spans="1:12" x14ac:dyDescent="0.3">
      <c r="A16" t="s">
        <v>73</v>
      </c>
      <c r="B16" s="3">
        <v>397228595</v>
      </c>
      <c r="C16" s="3" t="s">
        <v>13</v>
      </c>
      <c r="D16" t="s">
        <v>74</v>
      </c>
      <c r="E16" s="3">
        <v>354</v>
      </c>
      <c r="F16" s="4">
        <v>0.24583333333333332</v>
      </c>
      <c r="G16" t="b">
        <v>0</v>
      </c>
      <c r="H16" t="s">
        <v>75</v>
      </c>
      <c r="I16" t="s">
        <v>66</v>
      </c>
      <c r="J16" t="str">
        <f t="shared" si="0"/>
        <v>Kendrick Lamar</v>
      </c>
      <c r="K16" t="s">
        <v>76</v>
      </c>
      <c r="L16" s="3">
        <v>19700000</v>
      </c>
    </row>
    <row r="17" spans="1:12" x14ac:dyDescent="0.3">
      <c r="A17" t="s">
        <v>77</v>
      </c>
      <c r="B17" s="3">
        <v>115058148</v>
      </c>
      <c r="C17" s="3" t="s">
        <v>13</v>
      </c>
      <c r="D17" t="s">
        <v>78</v>
      </c>
      <c r="E17" s="3">
        <v>244</v>
      </c>
      <c r="F17" s="4">
        <v>0.16944444444444445</v>
      </c>
      <c r="G17" t="b">
        <v>0</v>
      </c>
      <c r="H17" t="s">
        <v>79</v>
      </c>
      <c r="I17" t="s">
        <v>80</v>
      </c>
      <c r="J17" t="str">
        <f t="shared" si="0"/>
        <v>LLOUD Official</v>
      </c>
      <c r="K17" t="s">
        <v>81</v>
      </c>
      <c r="L17" s="3">
        <v>8080000</v>
      </c>
    </row>
    <row r="18" spans="1:12" x14ac:dyDescent="0.3">
      <c r="A18" t="s">
        <v>82</v>
      </c>
      <c r="B18" s="3">
        <v>12089</v>
      </c>
      <c r="C18" s="3" t="s">
        <v>13</v>
      </c>
      <c r="D18" t="s">
        <v>83</v>
      </c>
      <c r="E18" s="3">
        <v>189</v>
      </c>
      <c r="F18" s="4">
        <v>0.13125000000000001</v>
      </c>
      <c r="G18" t="b">
        <v>0</v>
      </c>
      <c r="H18" t="s">
        <v>84</v>
      </c>
      <c r="I18" t="s">
        <v>85</v>
      </c>
      <c r="J18" t="str">
        <f t="shared" si="0"/>
        <v>C'zah</v>
      </c>
      <c r="K18" t="s">
        <v>86</v>
      </c>
      <c r="L18" s="3">
        <v>1320</v>
      </c>
    </row>
    <row r="19" spans="1:12" x14ac:dyDescent="0.3">
      <c r="A19" t="s">
        <v>87</v>
      </c>
      <c r="B19" s="3">
        <v>110991682</v>
      </c>
      <c r="C19" s="3" t="s">
        <v>13</v>
      </c>
      <c r="D19" t="s">
        <v>88</v>
      </c>
      <c r="E19" s="3">
        <v>284</v>
      </c>
      <c r="F19" s="4">
        <v>0.19722222222222222</v>
      </c>
      <c r="G19" t="b">
        <v>0</v>
      </c>
      <c r="H19" t="s">
        <v>89</v>
      </c>
      <c r="I19" t="s">
        <v>90</v>
      </c>
      <c r="J19" t="str">
        <f t="shared" si="0"/>
        <v>Lola Young</v>
      </c>
      <c r="K19" t="s">
        <v>91</v>
      </c>
      <c r="L19" s="3">
        <v>565000</v>
      </c>
    </row>
    <row r="20" spans="1:12" x14ac:dyDescent="0.3">
      <c r="A20" t="s">
        <v>92</v>
      </c>
      <c r="B20" s="3">
        <v>160421970</v>
      </c>
      <c r="C20" s="3" t="s">
        <v>13</v>
      </c>
      <c r="D20" t="s">
        <v>93</v>
      </c>
      <c r="E20" s="3">
        <v>185</v>
      </c>
      <c r="F20" s="4">
        <v>0.12847222222222221</v>
      </c>
      <c r="G20" t="b">
        <v>0</v>
      </c>
      <c r="H20" t="s">
        <v>94</v>
      </c>
      <c r="I20" t="s">
        <v>95</v>
      </c>
      <c r="J20" t="str">
        <f t="shared" si="0"/>
        <v>Teddy Swims</v>
      </c>
      <c r="K20" t="s">
        <v>96</v>
      </c>
      <c r="L20" s="3">
        <v>6070000</v>
      </c>
    </row>
    <row r="21" spans="1:12" x14ac:dyDescent="0.3">
      <c r="A21" t="s">
        <v>97</v>
      </c>
      <c r="B21" s="3">
        <v>92973980</v>
      </c>
      <c r="C21" s="3" t="s">
        <v>13</v>
      </c>
      <c r="D21" t="s">
        <v>98</v>
      </c>
      <c r="E21" s="3">
        <v>221</v>
      </c>
      <c r="F21" s="4">
        <v>0.15347222222222223</v>
      </c>
      <c r="G21" t="b">
        <v>0</v>
      </c>
      <c r="H21" t="s">
        <v>99</v>
      </c>
      <c r="I21" t="s">
        <v>100</v>
      </c>
      <c r="J21" t="str">
        <f t="shared" si="0"/>
        <v>JENNIE</v>
      </c>
      <c r="K21" t="s">
        <v>101</v>
      </c>
      <c r="L21" s="3">
        <v>16100000</v>
      </c>
    </row>
    <row r="22" spans="1:12" x14ac:dyDescent="0.3">
      <c r="A22" t="s">
        <v>102</v>
      </c>
      <c r="B22" s="3">
        <v>253618903</v>
      </c>
      <c r="C22" s="3" t="s">
        <v>13</v>
      </c>
      <c r="D22" t="s">
        <v>36</v>
      </c>
      <c r="E22" s="3">
        <v>263</v>
      </c>
      <c r="F22" s="4">
        <v>0.18263888888888888</v>
      </c>
      <c r="G22" t="b">
        <v>0</v>
      </c>
      <c r="H22" t="s">
        <v>103</v>
      </c>
      <c r="I22" t="s">
        <v>38</v>
      </c>
      <c r="J22" t="str">
        <f t="shared" si="0"/>
        <v>Sabrina Carpenter</v>
      </c>
      <c r="K22" t="s">
        <v>39</v>
      </c>
      <c r="L22" s="3">
        <v>12300000</v>
      </c>
    </row>
    <row r="23" spans="1:12" x14ac:dyDescent="0.3">
      <c r="A23" t="s">
        <v>104</v>
      </c>
      <c r="B23" s="3">
        <v>7805</v>
      </c>
      <c r="C23" s="3" t="s">
        <v>13</v>
      </c>
      <c r="D23" t="s">
        <v>105</v>
      </c>
      <c r="E23" s="3">
        <v>191</v>
      </c>
      <c r="F23" s="4">
        <v>0.13263888888888889</v>
      </c>
      <c r="G23" t="b">
        <v>0</v>
      </c>
      <c r="H23" t="s">
        <v>106</v>
      </c>
      <c r="I23" t="s">
        <v>107</v>
      </c>
      <c r="J23" t="str">
        <f t="shared" si="0"/>
        <v>S.M.I.R Seattle Music Is Real</v>
      </c>
      <c r="K23" t="s">
        <v>108</v>
      </c>
      <c r="L23" s="3">
        <v>14800</v>
      </c>
    </row>
    <row r="24" spans="1:12" x14ac:dyDescent="0.3">
      <c r="A24" t="s">
        <v>109</v>
      </c>
      <c r="B24" s="3">
        <v>45822601</v>
      </c>
      <c r="C24" s="3" t="s">
        <v>13</v>
      </c>
      <c r="E24" s="3">
        <v>156</v>
      </c>
      <c r="F24" s="4">
        <v>0.10833333333333334</v>
      </c>
      <c r="G24" t="b">
        <v>0</v>
      </c>
      <c r="H24" t="s">
        <v>110</v>
      </c>
      <c r="I24" t="s">
        <v>111</v>
      </c>
      <c r="J24" t="str">
        <f t="shared" si="0"/>
        <v>Tommy Richman</v>
      </c>
      <c r="K24" t="s">
        <v>112</v>
      </c>
      <c r="L24" s="3">
        <v>655000</v>
      </c>
    </row>
    <row r="25" spans="1:12" x14ac:dyDescent="0.3">
      <c r="A25" t="s">
        <v>113</v>
      </c>
      <c r="B25" s="3">
        <v>80889460</v>
      </c>
      <c r="C25" s="3" t="s">
        <v>13</v>
      </c>
      <c r="D25" t="s">
        <v>114</v>
      </c>
      <c r="E25" s="3">
        <v>236</v>
      </c>
      <c r="F25" s="4">
        <v>0.16388888888888889</v>
      </c>
      <c r="G25" t="b">
        <v>0</v>
      </c>
      <c r="H25" t="s">
        <v>115</v>
      </c>
      <c r="I25" t="s">
        <v>38</v>
      </c>
      <c r="J25" t="str">
        <f t="shared" si="0"/>
        <v>Sabrina Carpenter</v>
      </c>
      <c r="K25" t="s">
        <v>39</v>
      </c>
      <c r="L25" s="3">
        <v>12300000</v>
      </c>
    </row>
    <row r="26" spans="1:12" x14ac:dyDescent="0.3">
      <c r="A26" t="s">
        <v>116</v>
      </c>
      <c r="B26" s="3">
        <v>51336708</v>
      </c>
      <c r="C26" s="3" t="s">
        <v>13</v>
      </c>
      <c r="D26" t="s">
        <v>117</v>
      </c>
      <c r="E26" s="3">
        <v>252</v>
      </c>
      <c r="F26" s="4">
        <v>0.17499999999999999</v>
      </c>
      <c r="G26" t="b">
        <v>0</v>
      </c>
      <c r="H26" t="s">
        <v>118</v>
      </c>
      <c r="I26" t="s">
        <v>119</v>
      </c>
      <c r="J26" t="str">
        <f t="shared" si="0"/>
        <v>Doechii</v>
      </c>
      <c r="K26" t="s">
        <v>120</v>
      </c>
      <c r="L26" s="3">
        <v>3140000</v>
      </c>
    </row>
    <row r="27" spans="1:12" x14ac:dyDescent="0.3">
      <c r="A27" t="s">
        <v>121</v>
      </c>
      <c r="B27" s="3">
        <v>87005996</v>
      </c>
      <c r="C27" s="3" t="s">
        <v>13</v>
      </c>
      <c r="E27" s="3">
        <v>353</v>
      </c>
      <c r="F27" s="4">
        <v>0.24513888888888888</v>
      </c>
      <c r="G27" t="b">
        <v>0</v>
      </c>
      <c r="H27" t="s">
        <v>122</v>
      </c>
      <c r="I27" t="s">
        <v>123</v>
      </c>
      <c r="J27" t="str">
        <f t="shared" si="0"/>
        <v>keinemusik</v>
      </c>
      <c r="K27" t="s">
        <v>124</v>
      </c>
      <c r="L27" s="3">
        <v>255000</v>
      </c>
    </row>
    <row r="28" spans="1:12" x14ac:dyDescent="0.3">
      <c r="A28" t="s">
        <v>125</v>
      </c>
      <c r="B28" s="3">
        <v>17322</v>
      </c>
      <c r="C28" s="3" t="s">
        <v>13</v>
      </c>
      <c r="E28" s="3">
        <v>154</v>
      </c>
      <c r="F28" s="4">
        <v>0.10694444444444444</v>
      </c>
      <c r="G28" t="b">
        <v>0</v>
      </c>
      <c r="H28" t="s">
        <v>126</v>
      </c>
      <c r="I28" t="s">
        <v>127</v>
      </c>
      <c r="J28" t="str">
        <f t="shared" si="0"/>
        <v>NIICKII</v>
      </c>
      <c r="K28" t="s">
        <v>128</v>
      </c>
      <c r="L28" s="3">
        <v>47</v>
      </c>
    </row>
    <row r="29" spans="1:12" x14ac:dyDescent="0.3">
      <c r="A29" t="s">
        <v>129</v>
      </c>
      <c r="B29" s="3">
        <v>148501523</v>
      </c>
      <c r="C29" s="3" t="s">
        <v>13</v>
      </c>
      <c r="D29" t="s">
        <v>29</v>
      </c>
      <c r="E29" s="3">
        <v>324</v>
      </c>
      <c r="F29" s="4">
        <v>0.22500000000000001</v>
      </c>
      <c r="G29" t="b">
        <v>0</v>
      </c>
      <c r="H29" t="s">
        <v>130</v>
      </c>
      <c r="I29" t="s">
        <v>31</v>
      </c>
      <c r="J29" t="str">
        <f t="shared" si="0"/>
        <v>Billie Eilish</v>
      </c>
      <c r="K29" t="s">
        <v>32</v>
      </c>
      <c r="L29" s="3">
        <v>56800000</v>
      </c>
    </row>
    <row r="30" spans="1:12" x14ac:dyDescent="0.3">
      <c r="A30" t="s">
        <v>131</v>
      </c>
      <c r="B30" s="3">
        <v>210275500</v>
      </c>
      <c r="C30" s="3" t="s">
        <v>13</v>
      </c>
      <c r="D30" t="s">
        <v>36</v>
      </c>
      <c r="E30" s="3">
        <v>198</v>
      </c>
      <c r="F30" s="4">
        <v>0.13750000000000001</v>
      </c>
      <c r="G30" t="b">
        <v>0</v>
      </c>
      <c r="H30" t="s">
        <v>132</v>
      </c>
      <c r="I30" t="s">
        <v>38</v>
      </c>
      <c r="J30" t="str">
        <f t="shared" si="0"/>
        <v>Sabrina Carpenter</v>
      </c>
      <c r="K30" t="s">
        <v>39</v>
      </c>
      <c r="L30" s="3">
        <v>12300000</v>
      </c>
    </row>
    <row r="31" spans="1:12" x14ac:dyDescent="0.3">
      <c r="A31" t="s">
        <v>133</v>
      </c>
      <c r="B31" s="3">
        <v>209840684</v>
      </c>
      <c r="C31" s="3" t="s">
        <v>13</v>
      </c>
      <c r="D31" t="s">
        <v>134</v>
      </c>
      <c r="E31" s="3">
        <v>201</v>
      </c>
      <c r="F31" s="4">
        <v>0.13958333333333334</v>
      </c>
      <c r="G31" t="b">
        <v>0</v>
      </c>
      <c r="H31" t="s">
        <v>135</v>
      </c>
      <c r="I31" t="s">
        <v>136</v>
      </c>
      <c r="J31" t="str">
        <f t="shared" si="0"/>
        <v>Post Malone</v>
      </c>
      <c r="K31" t="s">
        <v>137</v>
      </c>
      <c r="L31" s="3">
        <v>28400000</v>
      </c>
    </row>
    <row r="32" spans="1:12" x14ac:dyDescent="0.3">
      <c r="A32" t="s">
        <v>439</v>
      </c>
      <c r="B32" s="3">
        <v>28007213</v>
      </c>
      <c r="C32" s="3" t="s">
        <v>13</v>
      </c>
      <c r="D32" t="s">
        <v>139</v>
      </c>
      <c r="E32" s="3">
        <v>166</v>
      </c>
      <c r="F32" s="4">
        <v>0.11527777777777778</v>
      </c>
      <c r="G32" t="b">
        <v>0</v>
      </c>
      <c r="H32" t="s">
        <v>140</v>
      </c>
      <c r="I32" t="s">
        <v>141</v>
      </c>
      <c r="J32" t="str">
        <f t="shared" si="0"/>
        <v>Gracie Abrams</v>
      </c>
      <c r="K32" t="s">
        <v>142</v>
      </c>
      <c r="L32" s="3">
        <v>1770000</v>
      </c>
    </row>
    <row r="33" spans="1:12" x14ac:dyDescent="0.3">
      <c r="A33" t="s">
        <v>143</v>
      </c>
      <c r="B33" s="3">
        <v>6605</v>
      </c>
      <c r="C33" s="3" t="s">
        <v>13</v>
      </c>
      <c r="E33" s="3">
        <v>137</v>
      </c>
      <c r="F33" s="4">
        <v>9.5138888888888884E-2</v>
      </c>
      <c r="G33" t="b">
        <v>0</v>
      </c>
      <c r="H33" t="s">
        <v>144</v>
      </c>
      <c r="I33" t="s">
        <v>145</v>
      </c>
      <c r="J33" t="str">
        <f t="shared" si="0"/>
        <v>Chxnny</v>
      </c>
      <c r="K33" t="s">
        <v>146</v>
      </c>
      <c r="L33" s="3">
        <v>3630</v>
      </c>
    </row>
    <row r="34" spans="1:12" x14ac:dyDescent="0.3">
      <c r="A34" t="s">
        <v>147</v>
      </c>
      <c r="B34" s="3">
        <v>236500879</v>
      </c>
      <c r="C34" s="3" t="s">
        <v>13</v>
      </c>
      <c r="E34" s="3">
        <v>193</v>
      </c>
      <c r="F34" s="4">
        <v>0.13402777777777777</v>
      </c>
      <c r="G34" t="b">
        <v>0</v>
      </c>
      <c r="H34" t="s">
        <v>148</v>
      </c>
      <c r="I34" t="s">
        <v>149</v>
      </c>
      <c r="J34" t="str">
        <f t="shared" si="0"/>
        <v>Sevdaliza</v>
      </c>
      <c r="K34" t="s">
        <v>150</v>
      </c>
      <c r="L34" s="3">
        <v>1230000</v>
      </c>
    </row>
    <row r="35" spans="1:12" x14ac:dyDescent="0.3">
      <c r="A35" t="s">
        <v>151</v>
      </c>
      <c r="B35" s="3">
        <v>36173120</v>
      </c>
      <c r="C35" s="3" t="s">
        <v>13</v>
      </c>
      <c r="D35" t="s">
        <v>152</v>
      </c>
      <c r="E35" s="3">
        <v>174</v>
      </c>
      <c r="F35" s="4">
        <v>0.12083333333333333</v>
      </c>
      <c r="G35" t="b">
        <v>0</v>
      </c>
      <c r="H35" t="s">
        <v>153</v>
      </c>
      <c r="I35" t="s">
        <v>154</v>
      </c>
      <c r="J35" t="str">
        <f t="shared" si="0"/>
        <v>Myles Smith</v>
      </c>
      <c r="K35" t="s">
        <v>155</v>
      </c>
      <c r="L35" s="3">
        <v>391000</v>
      </c>
    </row>
    <row r="36" spans="1:12" x14ac:dyDescent="0.3">
      <c r="A36" t="s">
        <v>445</v>
      </c>
      <c r="B36" s="3">
        <v>119135427</v>
      </c>
      <c r="C36" s="3" t="s">
        <v>13</v>
      </c>
      <c r="D36" t="s">
        <v>451</v>
      </c>
      <c r="E36" s="3">
        <v>218</v>
      </c>
      <c r="F36" s="4">
        <v>0.15138888888888888</v>
      </c>
      <c r="G36" t="b">
        <v>0</v>
      </c>
      <c r="H36" t="s">
        <v>158</v>
      </c>
      <c r="I36" t="s">
        <v>436</v>
      </c>
      <c r="J36" t="str">
        <f t="shared" si="0"/>
        <v>ROSA</v>
      </c>
      <c r="K36" t="s">
        <v>17</v>
      </c>
      <c r="L36" s="3">
        <v>19200000</v>
      </c>
    </row>
    <row r="37" spans="1:12" x14ac:dyDescent="0.3">
      <c r="A37" t="s">
        <v>159</v>
      </c>
      <c r="B37" s="3">
        <v>70965585</v>
      </c>
      <c r="C37" s="3" t="s">
        <v>49</v>
      </c>
      <c r="E37" s="3">
        <v>166</v>
      </c>
      <c r="F37" s="4">
        <v>0.11527777777777778</v>
      </c>
      <c r="G37" t="b">
        <v>0</v>
      </c>
      <c r="H37" t="s">
        <v>160</v>
      </c>
      <c r="I37" t="s">
        <v>66</v>
      </c>
      <c r="J37" t="str">
        <f t="shared" si="0"/>
        <v>Kendrick Lamar</v>
      </c>
      <c r="K37" t="s">
        <v>67</v>
      </c>
      <c r="L37" s="3">
        <v>19700000</v>
      </c>
    </row>
    <row r="38" spans="1:12" x14ac:dyDescent="0.3">
      <c r="A38" t="s">
        <v>161</v>
      </c>
      <c r="B38" s="3">
        <v>7550110</v>
      </c>
      <c r="C38" s="3" t="s">
        <v>13</v>
      </c>
      <c r="D38" t="s">
        <v>162</v>
      </c>
      <c r="E38" s="3">
        <v>222</v>
      </c>
      <c r="F38" s="4">
        <v>0.15416666666666667</v>
      </c>
      <c r="G38" t="b">
        <v>0</v>
      </c>
      <c r="H38" t="s">
        <v>163</v>
      </c>
      <c r="I38" t="s">
        <v>164</v>
      </c>
      <c r="J38" t="str">
        <f t="shared" si="0"/>
        <v>ROLE MODEL</v>
      </c>
      <c r="K38" t="s">
        <v>165</v>
      </c>
      <c r="L38" s="3">
        <v>360000</v>
      </c>
    </row>
    <row r="39" spans="1:12" x14ac:dyDescent="0.3">
      <c r="A39" t="s">
        <v>446</v>
      </c>
      <c r="B39" s="3">
        <v>112391296</v>
      </c>
      <c r="C39" s="3" t="s">
        <v>13</v>
      </c>
      <c r="D39" t="s">
        <v>451</v>
      </c>
      <c r="E39" s="3">
        <v>234</v>
      </c>
      <c r="F39" s="4">
        <v>0.16250000000000001</v>
      </c>
      <c r="G39" t="b">
        <v>0</v>
      </c>
      <c r="H39" t="s">
        <v>168</v>
      </c>
      <c r="I39" t="s">
        <v>436</v>
      </c>
      <c r="J39" t="str">
        <f t="shared" si="0"/>
        <v>ROSA</v>
      </c>
      <c r="K39" t="s">
        <v>17</v>
      </c>
      <c r="L39" s="3">
        <v>19200000</v>
      </c>
    </row>
    <row r="40" spans="1:12" x14ac:dyDescent="0.3">
      <c r="A40" t="s">
        <v>169</v>
      </c>
      <c r="B40" s="3">
        <v>118077070</v>
      </c>
      <c r="C40" s="3" t="s">
        <v>13</v>
      </c>
      <c r="D40" t="s">
        <v>170</v>
      </c>
      <c r="E40" s="3">
        <v>218</v>
      </c>
      <c r="F40" s="4">
        <v>0.15138888888888888</v>
      </c>
      <c r="G40" t="b">
        <v>0</v>
      </c>
      <c r="H40" t="s">
        <v>171</v>
      </c>
      <c r="I40" t="s">
        <v>172</v>
      </c>
      <c r="J40" t="str">
        <f t="shared" si="0"/>
        <v>Chappell Roan</v>
      </c>
      <c r="K40" t="s">
        <v>173</v>
      </c>
      <c r="L40" s="3">
        <v>2250000</v>
      </c>
    </row>
    <row r="41" spans="1:12" x14ac:dyDescent="0.3">
      <c r="A41" t="s">
        <v>447</v>
      </c>
      <c r="B41" s="3">
        <v>174553002</v>
      </c>
      <c r="C41" s="3" t="s">
        <v>13</v>
      </c>
      <c r="D41" t="s">
        <v>452</v>
      </c>
      <c r="E41" s="3">
        <v>191</v>
      </c>
      <c r="F41" s="4">
        <v>0.13263888888888889</v>
      </c>
      <c r="G41" t="b">
        <v>0</v>
      </c>
      <c r="H41" t="s">
        <v>176</v>
      </c>
      <c r="I41" t="s">
        <v>80</v>
      </c>
      <c r="J41" t="str">
        <f t="shared" si="0"/>
        <v>LLOUD Official</v>
      </c>
      <c r="K41" t="s">
        <v>81</v>
      </c>
      <c r="L41" s="3">
        <v>8080000</v>
      </c>
    </row>
    <row r="42" spans="1:12" x14ac:dyDescent="0.3">
      <c r="A42" t="s">
        <v>177</v>
      </c>
      <c r="B42" s="3">
        <v>34415168</v>
      </c>
      <c r="C42" s="3" t="s">
        <v>13</v>
      </c>
      <c r="D42" t="s">
        <v>178</v>
      </c>
      <c r="E42" s="3">
        <v>207</v>
      </c>
      <c r="F42" s="4">
        <v>0.14374999999999999</v>
      </c>
      <c r="G42" t="b">
        <v>0</v>
      </c>
      <c r="H42" t="s">
        <v>179</v>
      </c>
      <c r="I42" t="s">
        <v>46</v>
      </c>
      <c r="J42" t="str">
        <f t="shared" si="0"/>
        <v>Ed Sheeran</v>
      </c>
      <c r="K42" t="s">
        <v>47</v>
      </c>
      <c r="L42" s="3">
        <v>58500000</v>
      </c>
    </row>
    <row r="43" spans="1:12" x14ac:dyDescent="0.3">
      <c r="A43" t="s">
        <v>180</v>
      </c>
      <c r="B43" s="3">
        <v>17943</v>
      </c>
      <c r="C43" s="3" t="s">
        <v>13</v>
      </c>
      <c r="D43" t="s">
        <v>181</v>
      </c>
      <c r="E43" s="3">
        <v>239</v>
      </c>
      <c r="F43" s="4">
        <v>0.16597222222222222</v>
      </c>
      <c r="G43" t="b">
        <v>0</v>
      </c>
      <c r="H43" t="s">
        <v>182</v>
      </c>
      <c r="I43" t="s">
        <v>183</v>
      </c>
      <c r="J43" t="str">
        <f t="shared" si="0"/>
        <v>PJ</v>
      </c>
      <c r="K43" t="s">
        <v>184</v>
      </c>
      <c r="L43" s="3">
        <v>32000</v>
      </c>
    </row>
    <row r="44" spans="1:12" x14ac:dyDescent="0.3">
      <c r="A44" t="s">
        <v>185</v>
      </c>
      <c r="B44" s="3">
        <v>47392334</v>
      </c>
      <c r="C44" s="3" t="s">
        <v>13</v>
      </c>
      <c r="D44" t="s">
        <v>186</v>
      </c>
      <c r="E44" s="3">
        <v>202</v>
      </c>
      <c r="F44" s="4">
        <v>0.14027777777777778</v>
      </c>
      <c r="G44" t="b">
        <v>0</v>
      </c>
      <c r="H44" t="s">
        <v>187</v>
      </c>
      <c r="I44" t="s">
        <v>188</v>
      </c>
      <c r="J44" t="str">
        <f t="shared" si="0"/>
        <v>sombr</v>
      </c>
      <c r="K44" t="s">
        <v>189</v>
      </c>
      <c r="L44" s="3">
        <v>616000</v>
      </c>
    </row>
    <row r="45" spans="1:12" x14ac:dyDescent="0.3">
      <c r="A45" t="s">
        <v>190</v>
      </c>
      <c r="B45" s="3">
        <v>40129974</v>
      </c>
      <c r="C45" s="3" t="s">
        <v>13</v>
      </c>
      <c r="D45" t="s">
        <v>191</v>
      </c>
      <c r="E45" s="3">
        <v>235</v>
      </c>
      <c r="F45" s="4">
        <v>0.16319444444444445</v>
      </c>
      <c r="G45" t="b">
        <v>0</v>
      </c>
      <c r="H45" t="s">
        <v>192</v>
      </c>
      <c r="I45" t="s">
        <v>193</v>
      </c>
      <c r="J45" t="str">
        <f t="shared" si="0"/>
        <v>Jackson Wang</v>
      </c>
      <c r="K45" t="s">
        <v>194</v>
      </c>
      <c r="L45" s="3">
        <v>5350000</v>
      </c>
    </row>
    <row r="46" spans="1:12" x14ac:dyDescent="0.3">
      <c r="A46" t="s">
        <v>195</v>
      </c>
      <c r="B46" s="3">
        <v>41075369</v>
      </c>
      <c r="C46" s="3" t="s">
        <v>13</v>
      </c>
      <c r="E46" s="3">
        <v>204</v>
      </c>
      <c r="F46" s="4">
        <v>0.14166666666666666</v>
      </c>
      <c r="G46" t="b">
        <v>0</v>
      </c>
      <c r="H46" t="s">
        <v>196</v>
      </c>
      <c r="I46" t="s">
        <v>197</v>
      </c>
      <c r="J46" t="str">
        <f t="shared" si="0"/>
        <v>David Guetta</v>
      </c>
      <c r="K46" t="s">
        <v>198</v>
      </c>
      <c r="L46" s="3">
        <v>27600000</v>
      </c>
    </row>
    <row r="47" spans="1:12" x14ac:dyDescent="0.3">
      <c r="A47" t="s">
        <v>448</v>
      </c>
      <c r="B47" s="3">
        <v>48615120</v>
      </c>
      <c r="C47" s="3" t="s">
        <v>13</v>
      </c>
      <c r="D47" t="s">
        <v>453</v>
      </c>
      <c r="E47" s="3">
        <v>209</v>
      </c>
      <c r="F47" s="4">
        <v>0.1451388888888889</v>
      </c>
      <c r="G47" t="b">
        <v>0</v>
      </c>
      <c r="H47" t="s">
        <v>201</v>
      </c>
      <c r="I47" t="s">
        <v>202</v>
      </c>
      <c r="J47" t="str">
        <f t="shared" si="0"/>
        <v>The Weeknd</v>
      </c>
      <c r="K47" t="s">
        <v>203</v>
      </c>
      <c r="L47" s="3">
        <v>38700000</v>
      </c>
    </row>
    <row r="48" spans="1:12" x14ac:dyDescent="0.3">
      <c r="A48" t="s">
        <v>204</v>
      </c>
      <c r="B48" s="3">
        <v>188724</v>
      </c>
      <c r="C48" s="3" t="s">
        <v>13</v>
      </c>
      <c r="E48" s="3">
        <v>220</v>
      </c>
      <c r="F48" s="4">
        <v>0.15277777777777779</v>
      </c>
      <c r="G48" t="b">
        <v>0</v>
      </c>
      <c r="H48" t="s">
        <v>205</v>
      </c>
      <c r="I48" t="s">
        <v>206</v>
      </c>
      <c r="J48" t="str">
        <f t="shared" si="0"/>
        <v>RAAHiiM</v>
      </c>
      <c r="K48" t="s">
        <v>207</v>
      </c>
      <c r="L48" s="3">
        <v>16100</v>
      </c>
    </row>
    <row r="49" spans="1:12" x14ac:dyDescent="0.3">
      <c r="A49" t="s">
        <v>208</v>
      </c>
      <c r="B49" s="3">
        <v>108529744</v>
      </c>
      <c r="C49" s="3" t="s">
        <v>13</v>
      </c>
      <c r="D49" t="s">
        <v>209</v>
      </c>
      <c r="E49" s="3">
        <v>155</v>
      </c>
      <c r="F49" s="4">
        <v>0.1076388888888889</v>
      </c>
      <c r="G49" t="b">
        <v>0</v>
      </c>
      <c r="H49" t="s">
        <v>210</v>
      </c>
      <c r="I49" t="s">
        <v>197</v>
      </c>
      <c r="J49" t="str">
        <f t="shared" si="0"/>
        <v>David Guetta</v>
      </c>
      <c r="K49" t="s">
        <v>198</v>
      </c>
      <c r="L49" s="3">
        <v>27600000</v>
      </c>
    </row>
    <row r="50" spans="1:12" x14ac:dyDescent="0.3">
      <c r="A50" t="s">
        <v>211</v>
      </c>
      <c r="B50" s="3">
        <v>39114736</v>
      </c>
      <c r="C50" s="3" t="s">
        <v>13</v>
      </c>
      <c r="D50" t="s">
        <v>212</v>
      </c>
      <c r="E50" s="3">
        <v>265</v>
      </c>
      <c r="F50" s="4">
        <v>0.18402777777777779</v>
      </c>
      <c r="G50" t="b">
        <v>0</v>
      </c>
      <c r="H50" t="s">
        <v>213</v>
      </c>
      <c r="I50" t="s">
        <v>214</v>
      </c>
      <c r="J50" t="str">
        <f t="shared" si="0"/>
        <v>Drake</v>
      </c>
      <c r="K50" t="s">
        <v>215</v>
      </c>
      <c r="L50" s="3">
        <v>31500000</v>
      </c>
    </row>
    <row r="51" spans="1:12" x14ac:dyDescent="0.3">
      <c r="A51" t="s">
        <v>216</v>
      </c>
      <c r="B51" s="3">
        <v>40322577</v>
      </c>
      <c r="C51" s="3" t="s">
        <v>13</v>
      </c>
      <c r="D51" t="s">
        <v>217</v>
      </c>
      <c r="E51" s="3">
        <v>245</v>
      </c>
      <c r="F51" s="4">
        <v>0.1701388888888889</v>
      </c>
      <c r="G51" t="b">
        <v>0</v>
      </c>
      <c r="H51" t="s">
        <v>218</v>
      </c>
      <c r="I51" t="s">
        <v>202</v>
      </c>
      <c r="J51" t="str">
        <f t="shared" si="0"/>
        <v>The Weeknd</v>
      </c>
      <c r="K51" t="s">
        <v>203</v>
      </c>
      <c r="L51" s="3">
        <v>38700000</v>
      </c>
    </row>
    <row r="52" spans="1:12" x14ac:dyDescent="0.3">
      <c r="A52" t="s">
        <v>219</v>
      </c>
      <c r="B52" s="3">
        <v>34091789</v>
      </c>
      <c r="C52" s="3" t="s">
        <v>13</v>
      </c>
      <c r="D52" t="s">
        <v>454</v>
      </c>
      <c r="E52" s="3">
        <v>188</v>
      </c>
      <c r="F52" s="4">
        <v>0.13055555555555556</v>
      </c>
      <c r="G52" t="b">
        <v>0</v>
      </c>
      <c r="H52" t="s">
        <v>221</v>
      </c>
      <c r="I52" t="s">
        <v>222</v>
      </c>
      <c r="J52" t="str">
        <f t="shared" si="0"/>
        <v>Tate McRae</v>
      </c>
      <c r="K52" t="s">
        <v>223</v>
      </c>
      <c r="L52" s="3">
        <v>6320000</v>
      </c>
    </row>
    <row r="53" spans="1:12" x14ac:dyDescent="0.3">
      <c r="A53" t="s">
        <v>438</v>
      </c>
      <c r="B53" s="3">
        <v>3794711</v>
      </c>
      <c r="C53" s="3" t="s">
        <v>13</v>
      </c>
      <c r="D53" t="s">
        <v>225</v>
      </c>
      <c r="E53" s="3">
        <v>191</v>
      </c>
      <c r="F53" s="4">
        <v>0.13263888888888889</v>
      </c>
      <c r="G53" t="b">
        <v>0</v>
      </c>
      <c r="H53" t="s">
        <v>226</v>
      </c>
      <c r="I53" t="s">
        <v>434</v>
      </c>
      <c r="J53" t="str">
        <f>CLEAN(TRIM(I53))</f>
        <v>GIVAON</v>
      </c>
      <c r="K53" t="s">
        <v>228</v>
      </c>
      <c r="L53" s="3">
        <v>3330000</v>
      </c>
    </row>
    <row r="54" spans="1:12" x14ac:dyDescent="0.3">
      <c r="A54" t="s">
        <v>229</v>
      </c>
      <c r="B54" s="3">
        <v>85513596</v>
      </c>
      <c r="C54" s="3" t="s">
        <v>13</v>
      </c>
      <c r="D54" t="s">
        <v>230</v>
      </c>
      <c r="E54" s="3">
        <v>184</v>
      </c>
      <c r="F54" s="4">
        <v>0.12777777777777777</v>
      </c>
      <c r="G54" t="b">
        <v>0</v>
      </c>
      <c r="H54" t="s">
        <v>231</v>
      </c>
      <c r="I54" t="s">
        <v>232</v>
      </c>
      <c r="J54" t="str">
        <f t="shared" si="0"/>
        <v>Benson Boone</v>
      </c>
      <c r="K54" t="s">
        <v>233</v>
      </c>
      <c r="L54" s="3">
        <v>5360000</v>
      </c>
    </row>
    <row r="55" spans="1:12" x14ac:dyDescent="0.3">
      <c r="A55" t="s">
        <v>234</v>
      </c>
      <c r="B55" s="3">
        <v>36141339</v>
      </c>
      <c r="C55" s="3" t="s">
        <v>13</v>
      </c>
      <c r="D55" t="s">
        <v>235</v>
      </c>
      <c r="E55" s="3">
        <v>147</v>
      </c>
      <c r="F55" s="4">
        <v>0.10208333333333333</v>
      </c>
      <c r="G55" t="b">
        <v>0</v>
      </c>
      <c r="H55" t="s">
        <v>236</v>
      </c>
      <c r="I55" t="s">
        <v>222</v>
      </c>
      <c r="J55" t="str">
        <f t="shared" si="0"/>
        <v>Tate McRae</v>
      </c>
      <c r="K55" t="s">
        <v>237</v>
      </c>
      <c r="L55" s="3">
        <v>6320000</v>
      </c>
    </row>
    <row r="56" spans="1:12" x14ac:dyDescent="0.3">
      <c r="A56" t="s">
        <v>238</v>
      </c>
      <c r="B56" s="3">
        <v>79002814</v>
      </c>
      <c r="C56" s="3" t="s">
        <v>13</v>
      </c>
      <c r="D56" t="s">
        <v>239</v>
      </c>
      <c r="E56" s="3">
        <v>161</v>
      </c>
      <c r="F56" s="4">
        <v>0.11180555555555556</v>
      </c>
      <c r="G56" t="b">
        <v>0</v>
      </c>
      <c r="H56" t="s">
        <v>240</v>
      </c>
      <c r="I56" t="s">
        <v>241</v>
      </c>
      <c r="J56" t="str">
        <f t="shared" si="0"/>
        <v>Charli xcx</v>
      </c>
      <c r="K56" t="s">
        <v>242</v>
      </c>
      <c r="L56" s="3">
        <v>3900000</v>
      </c>
    </row>
    <row r="57" spans="1:12" x14ac:dyDescent="0.3">
      <c r="A57" t="s">
        <v>243</v>
      </c>
      <c r="B57" s="3">
        <v>52725607</v>
      </c>
      <c r="C57" s="3" t="s">
        <v>49</v>
      </c>
      <c r="D57" t="s">
        <v>244</v>
      </c>
      <c r="E57" s="3">
        <v>188</v>
      </c>
      <c r="F57" s="4">
        <v>0.13055555555555556</v>
      </c>
      <c r="G57" t="b">
        <v>0</v>
      </c>
      <c r="H57" t="s">
        <v>245</v>
      </c>
      <c r="I57" t="s">
        <v>62</v>
      </c>
      <c r="J57" t="str">
        <f t="shared" si="0"/>
        <v>Alex Warren</v>
      </c>
      <c r="K57" t="s">
        <v>63</v>
      </c>
      <c r="L57" s="3">
        <v>4050000</v>
      </c>
    </row>
    <row r="58" spans="1:12" x14ac:dyDescent="0.3">
      <c r="A58" t="s">
        <v>246</v>
      </c>
      <c r="B58" s="3">
        <v>125528</v>
      </c>
      <c r="C58" s="3" t="s">
        <v>13</v>
      </c>
      <c r="D58" t="s">
        <v>247</v>
      </c>
      <c r="E58" s="3">
        <v>182</v>
      </c>
      <c r="F58" s="4">
        <v>0.12638888888888888</v>
      </c>
      <c r="G58" t="b">
        <v>0</v>
      </c>
      <c r="H58" t="s">
        <v>248</v>
      </c>
      <c r="I58" t="s">
        <v>249</v>
      </c>
      <c r="J58" t="str">
        <f t="shared" si="0"/>
        <v>Roy Woods</v>
      </c>
      <c r="K58" t="s">
        <v>250</v>
      </c>
      <c r="L58" s="3">
        <v>297000</v>
      </c>
    </row>
    <row r="59" spans="1:12" x14ac:dyDescent="0.3">
      <c r="A59" t="s">
        <v>251</v>
      </c>
      <c r="B59" s="3">
        <v>29890943</v>
      </c>
      <c r="C59" s="3" t="s">
        <v>13</v>
      </c>
      <c r="D59" t="s">
        <v>455</v>
      </c>
      <c r="E59" s="3">
        <v>171</v>
      </c>
      <c r="F59" s="4">
        <v>0.11874999999999999</v>
      </c>
      <c r="G59" t="b">
        <v>0</v>
      </c>
      <c r="H59" t="s">
        <v>253</v>
      </c>
      <c r="I59" t="s">
        <v>254</v>
      </c>
      <c r="J59" t="str">
        <f t="shared" si="0"/>
        <v>Maroon 5</v>
      </c>
      <c r="K59" t="s">
        <v>255</v>
      </c>
      <c r="L59" s="3">
        <v>37800000</v>
      </c>
    </row>
    <row r="60" spans="1:12" x14ac:dyDescent="0.3">
      <c r="A60" t="s">
        <v>256</v>
      </c>
      <c r="B60" s="3">
        <v>30313088</v>
      </c>
      <c r="C60" s="3" t="s">
        <v>13</v>
      </c>
      <c r="D60" t="s">
        <v>257</v>
      </c>
      <c r="E60" s="3">
        <v>194</v>
      </c>
      <c r="F60" s="4">
        <v>0.13472222222222222</v>
      </c>
      <c r="G60" t="b">
        <v>0</v>
      </c>
      <c r="H60" t="s">
        <v>258</v>
      </c>
      <c r="I60" t="s">
        <v>259</v>
      </c>
      <c r="J60" t="str">
        <f t="shared" si="0"/>
        <v>Dean Lewis</v>
      </c>
      <c r="K60" t="s">
        <v>260</v>
      </c>
      <c r="L60" s="3">
        <v>2680000</v>
      </c>
    </row>
    <row r="61" spans="1:12" x14ac:dyDescent="0.3">
      <c r="A61" t="s">
        <v>261</v>
      </c>
      <c r="B61" s="3">
        <v>30192542</v>
      </c>
      <c r="C61" s="3" t="s">
        <v>13</v>
      </c>
      <c r="D61" t="s">
        <v>262</v>
      </c>
      <c r="E61" s="3">
        <v>166</v>
      </c>
      <c r="F61" s="4">
        <v>0.11527777777777778</v>
      </c>
      <c r="G61" t="b">
        <v>0</v>
      </c>
      <c r="H61" t="s">
        <v>263</v>
      </c>
      <c r="I61" t="s">
        <v>232</v>
      </c>
      <c r="J61" t="str">
        <f t="shared" si="0"/>
        <v>Benson Boone</v>
      </c>
      <c r="K61" t="s">
        <v>233</v>
      </c>
      <c r="L61" s="3">
        <v>5360000</v>
      </c>
    </row>
    <row r="62" spans="1:12" x14ac:dyDescent="0.3">
      <c r="A62" t="s">
        <v>264</v>
      </c>
      <c r="B62" s="3">
        <v>30012095</v>
      </c>
      <c r="C62" s="3" t="s">
        <v>13</v>
      </c>
      <c r="D62" t="s">
        <v>265</v>
      </c>
      <c r="E62" s="3">
        <v>235</v>
      </c>
      <c r="F62" s="4">
        <v>0.16319444444444445</v>
      </c>
      <c r="G62" t="b">
        <v>0</v>
      </c>
      <c r="H62" t="s">
        <v>266</v>
      </c>
      <c r="I62" t="s">
        <v>222</v>
      </c>
      <c r="J62" t="str">
        <f t="shared" si="0"/>
        <v>Tate McRae</v>
      </c>
      <c r="K62" t="s">
        <v>223</v>
      </c>
      <c r="L62" s="3">
        <v>6320000</v>
      </c>
    </row>
    <row r="63" spans="1:12" x14ac:dyDescent="0.3">
      <c r="A63" t="s">
        <v>267</v>
      </c>
      <c r="B63" s="3">
        <v>158325692</v>
      </c>
      <c r="C63" s="3" t="s">
        <v>13</v>
      </c>
      <c r="D63" t="s">
        <v>268</v>
      </c>
      <c r="E63" s="3">
        <v>249</v>
      </c>
      <c r="F63" s="4">
        <v>0.17291666666666666</v>
      </c>
      <c r="G63" t="b">
        <v>0</v>
      </c>
      <c r="H63" t="s">
        <v>269</v>
      </c>
      <c r="I63" t="s">
        <v>270</v>
      </c>
      <c r="J63" t="str">
        <f t="shared" si="0"/>
        <v>Taylor Swift</v>
      </c>
      <c r="K63" t="s">
        <v>271</v>
      </c>
      <c r="L63" s="3">
        <v>61500000</v>
      </c>
    </row>
    <row r="64" spans="1:12" x14ac:dyDescent="0.3">
      <c r="A64" t="s">
        <v>272</v>
      </c>
      <c r="B64" s="3">
        <v>899024</v>
      </c>
      <c r="C64" s="3" t="s">
        <v>13</v>
      </c>
      <c r="D64" t="s">
        <v>273</v>
      </c>
      <c r="E64" s="3">
        <v>158</v>
      </c>
      <c r="F64" s="4">
        <v>0.10972222222222222</v>
      </c>
      <c r="G64" t="b">
        <v>0</v>
      </c>
      <c r="H64" t="s">
        <v>274</v>
      </c>
      <c r="I64" t="s">
        <v>275</v>
      </c>
      <c r="J64" t="str">
        <f t="shared" si="0"/>
        <v>Vex Prince</v>
      </c>
      <c r="K64" t="s">
        <v>276</v>
      </c>
      <c r="L64" s="3">
        <v>6100</v>
      </c>
    </row>
    <row r="65" spans="1:12" x14ac:dyDescent="0.3">
      <c r="A65" t="s">
        <v>277</v>
      </c>
      <c r="B65" s="3">
        <v>37464367</v>
      </c>
      <c r="C65" s="3" t="s">
        <v>13</v>
      </c>
      <c r="D65" t="s">
        <v>278</v>
      </c>
      <c r="E65" s="3">
        <v>154</v>
      </c>
      <c r="F65" s="4">
        <v>0.10694444444444444</v>
      </c>
      <c r="G65" t="b">
        <v>0</v>
      </c>
      <c r="H65" t="s">
        <v>279</v>
      </c>
      <c r="I65" t="s">
        <v>280</v>
      </c>
      <c r="J65" t="str">
        <f t="shared" si="0"/>
        <v>d4vd</v>
      </c>
      <c r="K65" t="s">
        <v>281</v>
      </c>
      <c r="L65" s="3">
        <v>2220000</v>
      </c>
    </row>
    <row r="66" spans="1:12" x14ac:dyDescent="0.3">
      <c r="A66" t="s">
        <v>282</v>
      </c>
      <c r="B66" s="3">
        <v>38500113</v>
      </c>
      <c r="C66" s="3" t="s">
        <v>13</v>
      </c>
      <c r="D66" t="s">
        <v>283</v>
      </c>
      <c r="E66" s="3">
        <v>253</v>
      </c>
      <c r="F66" s="4">
        <v>0.17569444444444443</v>
      </c>
      <c r="G66" t="b">
        <v>0</v>
      </c>
      <c r="H66" t="s">
        <v>284</v>
      </c>
      <c r="I66" t="s">
        <v>285</v>
      </c>
      <c r="J66" t="str">
        <f t="shared" si="0"/>
        <v>Damiano David</v>
      </c>
      <c r="K66" t="s">
        <v>286</v>
      </c>
      <c r="L66" s="3">
        <v>514000</v>
      </c>
    </row>
    <row r="67" spans="1:12" x14ac:dyDescent="0.3">
      <c r="A67" t="s">
        <v>287</v>
      </c>
      <c r="B67" s="3">
        <v>4637</v>
      </c>
      <c r="C67" s="3" t="s">
        <v>13</v>
      </c>
      <c r="D67" t="s">
        <v>288</v>
      </c>
      <c r="E67" s="3">
        <v>175</v>
      </c>
      <c r="F67" s="4">
        <v>0.12152777777777778</v>
      </c>
      <c r="G67" t="b">
        <v>0</v>
      </c>
      <c r="H67" t="s">
        <v>289</v>
      </c>
      <c r="I67" t="s">
        <v>290</v>
      </c>
      <c r="J67" t="str">
        <f t="shared" ref="J67:J101" si="1">CLEAN(TRIM(I67))</f>
        <v>DGB Media</v>
      </c>
      <c r="K67" t="s">
        <v>291</v>
      </c>
      <c r="L67" s="3">
        <v>605000</v>
      </c>
    </row>
    <row r="68" spans="1:12" x14ac:dyDescent="0.3">
      <c r="A68" t="s">
        <v>292</v>
      </c>
      <c r="B68" s="3">
        <v>33919328</v>
      </c>
      <c r="C68" s="3" t="s">
        <v>13</v>
      </c>
      <c r="D68" t="s">
        <v>293</v>
      </c>
      <c r="E68" s="3">
        <v>211</v>
      </c>
      <c r="F68" s="4">
        <v>0.14652777777777778</v>
      </c>
      <c r="G68" t="b">
        <v>0</v>
      </c>
      <c r="H68" t="s">
        <v>294</v>
      </c>
      <c r="I68" t="s">
        <v>100</v>
      </c>
      <c r="J68" t="str">
        <f t="shared" si="1"/>
        <v>JENNIE</v>
      </c>
      <c r="K68" t="s">
        <v>101</v>
      </c>
      <c r="L68" s="3">
        <v>16100000</v>
      </c>
    </row>
    <row r="69" spans="1:12" x14ac:dyDescent="0.3">
      <c r="A69" t="s">
        <v>295</v>
      </c>
      <c r="B69" s="3">
        <v>37164</v>
      </c>
      <c r="C69" s="3" t="s">
        <v>13</v>
      </c>
      <c r="D69" t="s">
        <v>296</v>
      </c>
      <c r="E69" s="3">
        <v>229</v>
      </c>
      <c r="F69" s="4">
        <v>0.15902777777777777</v>
      </c>
      <c r="G69" t="b">
        <v>0</v>
      </c>
      <c r="H69" t="s">
        <v>297</v>
      </c>
      <c r="I69" t="s">
        <v>298</v>
      </c>
      <c r="J69" t="str">
        <f t="shared" si="1"/>
        <v>SHOOP</v>
      </c>
      <c r="K69" t="s">
        <v>299</v>
      </c>
      <c r="L69" s="3">
        <v>43</v>
      </c>
    </row>
    <row r="70" spans="1:12" x14ac:dyDescent="0.3">
      <c r="A70" t="s">
        <v>300</v>
      </c>
      <c r="B70" s="3">
        <v>29225841</v>
      </c>
      <c r="C70" s="3" t="s">
        <v>13</v>
      </c>
      <c r="D70" t="s">
        <v>301</v>
      </c>
      <c r="E70" s="3">
        <v>252</v>
      </c>
      <c r="F70" s="4">
        <v>0.17499999999999999</v>
      </c>
      <c r="G70" t="b">
        <v>0</v>
      </c>
      <c r="H70" t="s">
        <v>302</v>
      </c>
      <c r="I70" t="s">
        <v>303</v>
      </c>
      <c r="J70" t="str">
        <f t="shared" si="1"/>
        <v>Miley Cyrus</v>
      </c>
      <c r="K70" t="s">
        <v>304</v>
      </c>
      <c r="L70" s="3">
        <v>19900000</v>
      </c>
    </row>
    <row r="71" spans="1:12" x14ac:dyDescent="0.3">
      <c r="A71" t="s">
        <v>305</v>
      </c>
      <c r="B71" s="3">
        <v>25353734</v>
      </c>
      <c r="C71" s="3" t="s">
        <v>13</v>
      </c>
      <c r="D71" t="s">
        <v>306</v>
      </c>
      <c r="E71" s="3">
        <v>219</v>
      </c>
      <c r="F71" s="4">
        <v>0.15208333333333332</v>
      </c>
      <c r="G71" t="b">
        <v>0</v>
      </c>
      <c r="H71" t="s">
        <v>307</v>
      </c>
      <c r="I71" t="s">
        <v>308</v>
      </c>
      <c r="J71" t="str">
        <f t="shared" si="1"/>
        <v>Ravyn Lenae</v>
      </c>
      <c r="K71" t="s">
        <v>309</v>
      </c>
      <c r="L71" s="3">
        <v>203000</v>
      </c>
    </row>
    <row r="72" spans="1:12" x14ac:dyDescent="0.3">
      <c r="A72" t="s">
        <v>310</v>
      </c>
      <c r="B72" s="3">
        <v>55388007</v>
      </c>
      <c r="C72" s="3" t="s">
        <v>13</v>
      </c>
      <c r="D72" t="s">
        <v>311</v>
      </c>
      <c r="E72" s="3">
        <v>182</v>
      </c>
      <c r="F72" s="4">
        <v>0.12638888888888888</v>
      </c>
      <c r="G72" t="b">
        <v>0</v>
      </c>
      <c r="H72" t="s">
        <v>312</v>
      </c>
      <c r="I72" t="s">
        <v>222</v>
      </c>
      <c r="J72" t="str">
        <f t="shared" si="1"/>
        <v>Tate McRae</v>
      </c>
      <c r="K72" t="s">
        <v>223</v>
      </c>
      <c r="L72" s="3">
        <v>6320000</v>
      </c>
    </row>
    <row r="73" spans="1:12" x14ac:dyDescent="0.3">
      <c r="A73" t="s">
        <v>313</v>
      </c>
      <c r="B73" s="3">
        <v>32203892</v>
      </c>
      <c r="C73" s="3" t="s">
        <v>13</v>
      </c>
      <c r="D73" t="s">
        <v>314</v>
      </c>
      <c r="E73" s="3">
        <v>207</v>
      </c>
      <c r="F73" s="4">
        <v>0.14374999999999999</v>
      </c>
      <c r="G73" t="b">
        <v>0</v>
      </c>
      <c r="H73" t="s">
        <v>315</v>
      </c>
      <c r="I73" t="s">
        <v>154</v>
      </c>
      <c r="J73" t="str">
        <f t="shared" si="1"/>
        <v>Myles Smith</v>
      </c>
      <c r="K73" t="s">
        <v>316</v>
      </c>
      <c r="L73" s="3">
        <v>391000</v>
      </c>
    </row>
    <row r="74" spans="1:12" x14ac:dyDescent="0.3">
      <c r="A74" t="s">
        <v>317</v>
      </c>
      <c r="B74" s="3">
        <v>667846</v>
      </c>
      <c r="C74" s="3" t="s">
        <v>13</v>
      </c>
      <c r="D74" t="s">
        <v>318</v>
      </c>
      <c r="E74" s="3">
        <v>120</v>
      </c>
      <c r="F74" s="4">
        <v>8.3333333333333329E-2</v>
      </c>
      <c r="G74" t="b">
        <v>0</v>
      </c>
      <c r="H74" t="s">
        <v>319</v>
      </c>
      <c r="I74" t="s">
        <v>320</v>
      </c>
      <c r="J74" t="str">
        <f t="shared" si="1"/>
        <v>Claudia Valentina</v>
      </c>
      <c r="K74" t="s">
        <v>321</v>
      </c>
      <c r="L74" s="3">
        <v>23900</v>
      </c>
    </row>
    <row r="75" spans="1:12" x14ac:dyDescent="0.3">
      <c r="A75" t="s">
        <v>322</v>
      </c>
      <c r="B75" s="3">
        <v>46125355</v>
      </c>
      <c r="C75" s="3" t="s">
        <v>13</v>
      </c>
      <c r="D75" t="s">
        <v>323</v>
      </c>
      <c r="E75" s="3">
        <v>261</v>
      </c>
      <c r="F75" s="4">
        <v>0.18124999999999999</v>
      </c>
      <c r="G75" t="b">
        <v>0</v>
      </c>
      <c r="H75" t="s">
        <v>324</v>
      </c>
      <c r="I75" t="s">
        <v>21</v>
      </c>
      <c r="J75" t="str">
        <f t="shared" si="1"/>
        <v>Lady Gaga</v>
      </c>
      <c r="K75" t="s">
        <v>22</v>
      </c>
      <c r="L75" s="3">
        <v>29600000</v>
      </c>
    </row>
    <row r="76" spans="1:12" x14ac:dyDescent="0.3">
      <c r="A76" t="s">
        <v>325</v>
      </c>
      <c r="B76" s="3">
        <v>111453988</v>
      </c>
      <c r="C76" s="3" t="s">
        <v>13</v>
      </c>
      <c r="D76" t="s">
        <v>326</v>
      </c>
      <c r="E76" s="3">
        <v>158</v>
      </c>
      <c r="F76" s="4">
        <v>0.10972222222222222</v>
      </c>
      <c r="G76" t="b">
        <v>0</v>
      </c>
      <c r="H76" t="s">
        <v>327</v>
      </c>
      <c r="I76" t="s">
        <v>328</v>
      </c>
      <c r="J76" t="str">
        <f t="shared" si="1"/>
        <v>Tyla</v>
      </c>
      <c r="K76" t="s">
        <v>329</v>
      </c>
      <c r="L76" s="3">
        <v>5070000</v>
      </c>
    </row>
    <row r="77" spans="1:12" x14ac:dyDescent="0.3">
      <c r="A77" t="s">
        <v>330</v>
      </c>
      <c r="B77" s="3">
        <v>46253970</v>
      </c>
      <c r="C77" s="3" t="s">
        <v>13</v>
      </c>
      <c r="E77" s="3">
        <v>240</v>
      </c>
      <c r="F77" s="4">
        <v>0.16666666666666666</v>
      </c>
      <c r="G77" t="b">
        <v>0</v>
      </c>
      <c r="H77" t="s">
        <v>331</v>
      </c>
      <c r="I77" t="s">
        <v>332</v>
      </c>
      <c r="J77" t="str">
        <f t="shared" si="1"/>
        <v>Coldplay</v>
      </c>
      <c r="K77" t="s">
        <v>333</v>
      </c>
      <c r="L77" s="3">
        <v>28100000</v>
      </c>
    </row>
    <row r="78" spans="1:12" x14ac:dyDescent="0.3">
      <c r="A78" t="s">
        <v>334</v>
      </c>
      <c r="B78" s="3">
        <v>208325690</v>
      </c>
      <c r="C78" s="3" t="s">
        <v>13</v>
      </c>
      <c r="D78" t="s">
        <v>335</v>
      </c>
      <c r="E78" s="3">
        <v>147</v>
      </c>
      <c r="F78" s="4">
        <v>0.10208333333333333</v>
      </c>
      <c r="G78" t="b">
        <v>0</v>
      </c>
      <c r="H78" t="s">
        <v>336</v>
      </c>
      <c r="I78" t="s">
        <v>100</v>
      </c>
      <c r="J78" t="str">
        <f t="shared" si="1"/>
        <v>JENNIE</v>
      </c>
      <c r="K78" t="s">
        <v>101</v>
      </c>
      <c r="L78" s="3">
        <v>16100000</v>
      </c>
    </row>
    <row r="79" spans="1:12" x14ac:dyDescent="0.3">
      <c r="A79" t="s">
        <v>337</v>
      </c>
      <c r="B79" s="3">
        <v>23070337</v>
      </c>
      <c r="C79" s="3" t="s">
        <v>13</v>
      </c>
      <c r="D79" t="s">
        <v>217</v>
      </c>
      <c r="E79" s="3">
        <v>320</v>
      </c>
      <c r="F79" s="4">
        <v>0.22222222222222221</v>
      </c>
      <c r="G79" t="b">
        <v>0</v>
      </c>
      <c r="H79" t="s">
        <v>338</v>
      </c>
      <c r="I79" t="s">
        <v>202</v>
      </c>
      <c r="J79" t="str">
        <f t="shared" si="1"/>
        <v>The Weeknd</v>
      </c>
      <c r="K79" t="s">
        <v>203</v>
      </c>
      <c r="L79" s="3">
        <v>38700000</v>
      </c>
    </row>
    <row r="80" spans="1:12" x14ac:dyDescent="0.3">
      <c r="A80" t="s">
        <v>440</v>
      </c>
      <c r="B80" s="3">
        <v>6174</v>
      </c>
      <c r="C80" s="3" t="s">
        <v>13</v>
      </c>
      <c r="D80" t="s">
        <v>340</v>
      </c>
      <c r="E80" s="3">
        <v>169</v>
      </c>
      <c r="F80" s="4">
        <v>0.11736111111111111</v>
      </c>
      <c r="G80" t="b">
        <v>0</v>
      </c>
      <c r="H80" t="s">
        <v>341</v>
      </c>
      <c r="I80" t="s">
        <v>435</v>
      </c>
      <c r="J80" t="str">
        <f t="shared" si="1"/>
        <v>Insane Shinobi</v>
      </c>
      <c r="K80" t="s">
        <v>343</v>
      </c>
      <c r="L80" s="3">
        <v>1200</v>
      </c>
    </row>
    <row r="81" spans="1:12" x14ac:dyDescent="0.3">
      <c r="A81" t="s">
        <v>344</v>
      </c>
      <c r="B81" s="3">
        <v>30301956</v>
      </c>
      <c r="C81" s="3" t="s">
        <v>13</v>
      </c>
      <c r="D81" t="s">
        <v>345</v>
      </c>
      <c r="E81" s="3">
        <v>167</v>
      </c>
      <c r="F81" s="4">
        <v>0.11597222222222223</v>
      </c>
      <c r="G81" t="b">
        <v>0</v>
      </c>
      <c r="H81" t="s">
        <v>346</v>
      </c>
      <c r="I81" t="s">
        <v>347</v>
      </c>
      <c r="J81" t="str">
        <f t="shared" si="1"/>
        <v>ImagineDragons</v>
      </c>
      <c r="K81" t="s">
        <v>348</v>
      </c>
      <c r="L81" s="3">
        <v>32900000</v>
      </c>
    </row>
    <row r="82" spans="1:12" x14ac:dyDescent="0.3">
      <c r="A82" t="s">
        <v>349</v>
      </c>
      <c r="B82" s="3">
        <v>24709753</v>
      </c>
      <c r="C82" s="3" t="s">
        <v>13</v>
      </c>
      <c r="D82" t="s">
        <v>350</v>
      </c>
      <c r="E82" s="3">
        <v>176</v>
      </c>
      <c r="F82" s="4">
        <v>0.12222222222222222</v>
      </c>
      <c r="G82" t="b">
        <v>0</v>
      </c>
      <c r="H82" t="s">
        <v>351</v>
      </c>
      <c r="I82" t="s">
        <v>352</v>
      </c>
      <c r="J82" t="str">
        <f t="shared" si="1"/>
        <v>Justin Bieber</v>
      </c>
      <c r="K82" t="s">
        <v>353</v>
      </c>
      <c r="L82" s="3">
        <v>76200000</v>
      </c>
    </row>
    <row r="83" spans="1:12" x14ac:dyDescent="0.3">
      <c r="A83" t="s">
        <v>354</v>
      </c>
      <c r="B83" s="3">
        <v>44470482</v>
      </c>
      <c r="C83" s="3" t="s">
        <v>13</v>
      </c>
      <c r="D83" t="s">
        <v>36</v>
      </c>
      <c r="E83" s="3">
        <v>172</v>
      </c>
      <c r="F83" s="4">
        <v>0.11944444444444445</v>
      </c>
      <c r="G83" t="b">
        <v>0</v>
      </c>
      <c r="H83" t="s">
        <v>355</v>
      </c>
      <c r="I83" t="s">
        <v>38</v>
      </c>
      <c r="J83" t="str">
        <f t="shared" si="1"/>
        <v>Sabrina Carpenter</v>
      </c>
      <c r="K83" t="s">
        <v>39</v>
      </c>
      <c r="L83" s="3">
        <v>12300000</v>
      </c>
    </row>
    <row r="84" spans="1:12" x14ac:dyDescent="0.3">
      <c r="A84" t="s">
        <v>356</v>
      </c>
      <c r="B84" s="3">
        <v>80373280</v>
      </c>
      <c r="C84" s="3" t="s">
        <v>13</v>
      </c>
      <c r="D84" t="s">
        <v>357</v>
      </c>
      <c r="E84" s="3">
        <v>187</v>
      </c>
      <c r="F84" s="4">
        <v>0.12986111111111112</v>
      </c>
      <c r="G84" t="b">
        <v>0</v>
      </c>
      <c r="H84" t="s">
        <v>358</v>
      </c>
      <c r="I84" t="s">
        <v>359</v>
      </c>
      <c r="J84" t="str">
        <f t="shared" si="1"/>
        <v>Dua Lipa</v>
      </c>
      <c r="K84" t="s">
        <v>360</v>
      </c>
      <c r="L84" s="3">
        <v>24400000</v>
      </c>
    </row>
    <row r="85" spans="1:12" x14ac:dyDescent="0.3">
      <c r="A85" t="s">
        <v>361</v>
      </c>
      <c r="B85" s="3">
        <v>20923612</v>
      </c>
      <c r="C85" s="3" t="s">
        <v>13</v>
      </c>
      <c r="D85" t="s">
        <v>362</v>
      </c>
      <c r="E85" s="3">
        <v>187</v>
      </c>
      <c r="F85" s="4">
        <v>0.12986111111111112</v>
      </c>
      <c r="G85" t="b">
        <v>0</v>
      </c>
      <c r="H85" t="s">
        <v>363</v>
      </c>
      <c r="I85" t="s">
        <v>38</v>
      </c>
      <c r="J85" t="str">
        <f t="shared" si="1"/>
        <v>Sabrina Carpenter</v>
      </c>
      <c r="K85" t="s">
        <v>39</v>
      </c>
      <c r="L85" s="3">
        <v>12300000</v>
      </c>
    </row>
    <row r="86" spans="1:12" x14ac:dyDescent="0.3">
      <c r="A86" t="s">
        <v>364</v>
      </c>
      <c r="B86" s="3">
        <v>35211939</v>
      </c>
      <c r="C86" s="3" t="s">
        <v>13</v>
      </c>
      <c r="D86" t="s">
        <v>365</v>
      </c>
      <c r="E86" s="3">
        <v>180</v>
      </c>
      <c r="F86" s="4">
        <v>0.125</v>
      </c>
      <c r="G86" t="b">
        <v>0</v>
      </c>
      <c r="H86" t="s">
        <v>366</v>
      </c>
      <c r="I86" t="s">
        <v>367</v>
      </c>
      <c r="J86" t="str">
        <f t="shared" si="1"/>
        <v>Addison Rae</v>
      </c>
      <c r="K86" t="s">
        <v>368</v>
      </c>
      <c r="L86" s="3">
        <v>4350000</v>
      </c>
    </row>
    <row r="87" spans="1:12" x14ac:dyDescent="0.3">
      <c r="A87" t="s">
        <v>369</v>
      </c>
      <c r="B87" s="3">
        <v>1161</v>
      </c>
      <c r="C87" s="3" t="s">
        <v>13</v>
      </c>
      <c r="D87" t="s">
        <v>370</v>
      </c>
      <c r="E87" s="3">
        <v>184</v>
      </c>
      <c r="F87" s="4">
        <v>0.12777777777777777</v>
      </c>
      <c r="G87" t="b">
        <v>0</v>
      </c>
      <c r="H87" t="s">
        <v>371</v>
      </c>
      <c r="I87" t="s">
        <v>372</v>
      </c>
      <c r="J87" t="str">
        <f t="shared" si="1"/>
        <v>RyanCollinsVEVO</v>
      </c>
      <c r="K87" t="s">
        <v>373</v>
      </c>
      <c r="L87" s="3">
        <v>1</v>
      </c>
    </row>
    <row r="88" spans="1:12" x14ac:dyDescent="0.3">
      <c r="A88" t="s">
        <v>374</v>
      </c>
      <c r="B88" s="3">
        <v>34725855</v>
      </c>
      <c r="C88" s="3" t="s">
        <v>13</v>
      </c>
      <c r="D88" t="s">
        <v>36</v>
      </c>
      <c r="E88" s="3">
        <v>223</v>
      </c>
      <c r="F88" s="4">
        <v>0.15486111111111112</v>
      </c>
      <c r="G88" t="b">
        <v>0</v>
      </c>
      <c r="H88" t="s">
        <v>375</v>
      </c>
      <c r="I88" t="s">
        <v>38</v>
      </c>
      <c r="J88" t="str">
        <f t="shared" si="1"/>
        <v>Sabrina Carpenter</v>
      </c>
      <c r="K88" t="s">
        <v>39</v>
      </c>
      <c r="L88" s="3">
        <v>12300000</v>
      </c>
    </row>
    <row r="89" spans="1:12" x14ac:dyDescent="0.3">
      <c r="A89" t="s">
        <v>376</v>
      </c>
      <c r="B89" s="3">
        <v>18154200</v>
      </c>
      <c r="C89" s="3" t="s">
        <v>13</v>
      </c>
      <c r="E89" s="3">
        <v>157</v>
      </c>
      <c r="F89" s="4">
        <v>0.10902777777777778</v>
      </c>
      <c r="G89" t="b">
        <v>0</v>
      </c>
      <c r="H89" t="s">
        <v>377</v>
      </c>
      <c r="I89" t="s">
        <v>197</v>
      </c>
      <c r="J89" t="str">
        <f t="shared" si="1"/>
        <v>David Guetta</v>
      </c>
      <c r="K89" t="s">
        <v>198</v>
      </c>
      <c r="L89" s="3">
        <v>27600000</v>
      </c>
    </row>
    <row r="90" spans="1:12" x14ac:dyDescent="0.3">
      <c r="A90" t="s">
        <v>378</v>
      </c>
      <c r="B90" s="3">
        <v>26261465</v>
      </c>
      <c r="C90" s="3" t="s">
        <v>13</v>
      </c>
      <c r="D90" t="s">
        <v>379</v>
      </c>
      <c r="E90" s="3">
        <v>204</v>
      </c>
      <c r="F90" s="4">
        <v>0.14166666666666666</v>
      </c>
      <c r="G90" t="b">
        <v>0</v>
      </c>
      <c r="H90" t="s">
        <v>380</v>
      </c>
      <c r="I90" t="s">
        <v>381</v>
      </c>
      <c r="J90" t="str">
        <f t="shared" si="1"/>
        <v>keshi</v>
      </c>
      <c r="K90" t="s">
        <v>382</v>
      </c>
      <c r="L90" s="3">
        <v>1900000</v>
      </c>
    </row>
    <row r="91" spans="1:12" x14ac:dyDescent="0.3">
      <c r="A91" t="s">
        <v>383</v>
      </c>
      <c r="B91" s="3">
        <v>7826393</v>
      </c>
      <c r="C91" s="3" t="s">
        <v>13</v>
      </c>
      <c r="D91" t="s">
        <v>384</v>
      </c>
      <c r="E91" s="3">
        <v>195</v>
      </c>
      <c r="F91" s="4">
        <v>0.13541666666666666</v>
      </c>
      <c r="G91" t="b">
        <v>0</v>
      </c>
      <c r="H91" t="s">
        <v>385</v>
      </c>
      <c r="I91" t="s">
        <v>328</v>
      </c>
      <c r="J91" t="str">
        <f t="shared" si="1"/>
        <v>Tyla</v>
      </c>
      <c r="K91" t="s">
        <v>329</v>
      </c>
      <c r="L91" s="3">
        <v>5070000</v>
      </c>
    </row>
    <row r="92" spans="1:12" x14ac:dyDescent="0.3">
      <c r="A92" t="s">
        <v>386</v>
      </c>
      <c r="B92" s="3">
        <v>19166284</v>
      </c>
      <c r="C92" s="3" t="s">
        <v>13</v>
      </c>
      <c r="D92" t="s">
        <v>387</v>
      </c>
      <c r="E92" s="3">
        <v>161</v>
      </c>
      <c r="F92" s="4">
        <v>0.11180555555555556</v>
      </c>
      <c r="G92" t="b">
        <v>0</v>
      </c>
      <c r="H92" t="s">
        <v>388</v>
      </c>
      <c r="I92" t="s">
        <v>389</v>
      </c>
      <c r="J92" t="str">
        <f t="shared" si="1"/>
        <v>Ariana Grande</v>
      </c>
      <c r="K92" t="s">
        <v>390</v>
      </c>
      <c r="L92" s="3">
        <v>56400000</v>
      </c>
    </row>
    <row r="93" spans="1:12" x14ac:dyDescent="0.3">
      <c r="A93" t="s">
        <v>391</v>
      </c>
      <c r="B93" s="3">
        <v>8687</v>
      </c>
      <c r="C93" s="3" t="s">
        <v>13</v>
      </c>
      <c r="E93" s="3">
        <v>194</v>
      </c>
      <c r="F93" s="4">
        <v>0.13472222222222222</v>
      </c>
      <c r="G93" t="b">
        <v>0</v>
      </c>
      <c r="H93" t="s">
        <v>392</v>
      </c>
      <c r="I93" t="s">
        <v>393</v>
      </c>
      <c r="J93" t="str">
        <f t="shared" si="1"/>
        <v>Maz Univerze</v>
      </c>
      <c r="K93" t="s">
        <v>394</v>
      </c>
      <c r="L93" s="3">
        <v>2120</v>
      </c>
    </row>
    <row r="94" spans="1:12" x14ac:dyDescent="0.3">
      <c r="A94" t="s">
        <v>395</v>
      </c>
      <c r="B94" s="3">
        <v>46131082</v>
      </c>
      <c r="C94" s="3" t="s">
        <v>13</v>
      </c>
      <c r="D94" t="s">
        <v>396</v>
      </c>
      <c r="E94" s="3">
        <v>259</v>
      </c>
      <c r="F94" s="4">
        <v>0.17986111111111111</v>
      </c>
      <c r="G94" t="b">
        <v>0</v>
      </c>
      <c r="H94" t="s">
        <v>397</v>
      </c>
      <c r="I94" t="s">
        <v>270</v>
      </c>
      <c r="J94" t="str">
        <f t="shared" si="1"/>
        <v>Taylor Swift</v>
      </c>
      <c r="K94" t="s">
        <v>271</v>
      </c>
      <c r="L94" s="3">
        <v>61500000</v>
      </c>
    </row>
    <row r="95" spans="1:12" x14ac:dyDescent="0.3">
      <c r="A95" t="s">
        <v>398</v>
      </c>
      <c r="B95" s="3">
        <v>18620923</v>
      </c>
      <c r="C95" s="3" t="s">
        <v>13</v>
      </c>
      <c r="D95" t="s">
        <v>399</v>
      </c>
      <c r="E95" s="3">
        <v>175</v>
      </c>
      <c r="F95" s="4">
        <v>0.12152777777777778</v>
      </c>
      <c r="G95" t="b">
        <v>0</v>
      </c>
      <c r="H95" t="s">
        <v>400</v>
      </c>
      <c r="I95" t="s">
        <v>401</v>
      </c>
      <c r="J95" t="str">
        <f t="shared" si="1"/>
        <v>Selena Gomez</v>
      </c>
      <c r="K95" t="s">
        <v>402</v>
      </c>
      <c r="L95" s="3">
        <v>35500000</v>
      </c>
    </row>
    <row r="96" spans="1:12" x14ac:dyDescent="0.3">
      <c r="A96" t="s">
        <v>403</v>
      </c>
      <c r="B96" s="3">
        <v>21968615</v>
      </c>
      <c r="C96" s="3" t="s">
        <v>13</v>
      </c>
      <c r="D96" t="s">
        <v>404</v>
      </c>
      <c r="E96" s="3">
        <v>183</v>
      </c>
      <c r="F96" s="4">
        <v>0.12708333333333333</v>
      </c>
      <c r="G96" t="b">
        <v>0</v>
      </c>
      <c r="H96" t="s">
        <v>405</v>
      </c>
      <c r="I96" t="s">
        <v>352</v>
      </c>
      <c r="J96" t="str">
        <f t="shared" si="1"/>
        <v>Justin Bieber</v>
      </c>
      <c r="K96" t="s">
        <v>406</v>
      </c>
      <c r="L96" s="3">
        <v>76200000</v>
      </c>
    </row>
    <row r="97" spans="1:12" x14ac:dyDescent="0.3">
      <c r="A97" t="s">
        <v>407</v>
      </c>
      <c r="B97" s="3">
        <v>18245315</v>
      </c>
      <c r="C97" s="3" t="s">
        <v>13</v>
      </c>
      <c r="D97" t="s">
        <v>387</v>
      </c>
      <c r="E97" s="3">
        <v>202</v>
      </c>
      <c r="F97" s="4">
        <v>0.14027777777777778</v>
      </c>
      <c r="G97" t="b">
        <v>0</v>
      </c>
      <c r="H97" t="s">
        <v>408</v>
      </c>
      <c r="I97" t="s">
        <v>389</v>
      </c>
      <c r="J97" t="str">
        <f t="shared" si="1"/>
        <v>Ariana Grande</v>
      </c>
      <c r="K97" t="s">
        <v>390</v>
      </c>
      <c r="L97" s="3">
        <v>56400000</v>
      </c>
    </row>
    <row r="98" spans="1:12" x14ac:dyDescent="0.3">
      <c r="A98" t="s">
        <v>441</v>
      </c>
      <c r="B98" s="3">
        <v>31456772</v>
      </c>
      <c r="C98" s="3" t="s">
        <v>13</v>
      </c>
      <c r="D98" t="s">
        <v>410</v>
      </c>
      <c r="E98" s="3">
        <v>234</v>
      </c>
      <c r="F98" s="4">
        <v>0.16250000000000001</v>
      </c>
      <c r="G98" t="b">
        <v>0</v>
      </c>
      <c r="H98" t="s">
        <v>411</v>
      </c>
      <c r="I98" t="s">
        <v>141</v>
      </c>
      <c r="J98" t="str">
        <f t="shared" si="1"/>
        <v>Gracie Abrams</v>
      </c>
      <c r="K98" t="s">
        <v>142</v>
      </c>
      <c r="L98" s="3">
        <v>1770000</v>
      </c>
    </row>
    <row r="99" spans="1:12" x14ac:dyDescent="0.3">
      <c r="A99" t="s">
        <v>412</v>
      </c>
      <c r="B99" s="3">
        <v>66051</v>
      </c>
      <c r="C99" s="3" t="s">
        <v>13</v>
      </c>
      <c r="E99" s="3">
        <v>197</v>
      </c>
      <c r="F99" s="4">
        <v>0.13680555555555557</v>
      </c>
      <c r="G99" t="b">
        <v>0</v>
      </c>
      <c r="H99" t="s">
        <v>413</v>
      </c>
      <c r="I99" t="s">
        <v>414</v>
      </c>
      <c r="J99" t="str">
        <f t="shared" si="1"/>
        <v>HoodTrophy Bino</v>
      </c>
      <c r="K99" t="s">
        <v>415</v>
      </c>
      <c r="L99" s="3">
        <v>20300</v>
      </c>
    </row>
    <row r="100" spans="1:12" x14ac:dyDescent="0.3">
      <c r="A100" t="s">
        <v>416</v>
      </c>
      <c r="B100" s="3">
        <v>16952860</v>
      </c>
      <c r="C100" s="3" t="s">
        <v>13</v>
      </c>
      <c r="D100" t="s">
        <v>417</v>
      </c>
      <c r="E100" s="3">
        <v>155</v>
      </c>
      <c r="F100" s="4">
        <v>0.1076388888888889</v>
      </c>
      <c r="G100" t="b">
        <v>0</v>
      </c>
      <c r="H100" t="s">
        <v>418</v>
      </c>
      <c r="I100" t="s">
        <v>417</v>
      </c>
      <c r="J100" t="str">
        <f t="shared" si="1"/>
        <v>Sean Paul</v>
      </c>
      <c r="K100" t="s">
        <v>419</v>
      </c>
      <c r="L100" s="3">
        <v>5200000</v>
      </c>
    </row>
    <row r="101" spans="1:12" x14ac:dyDescent="0.3">
      <c r="A101" t="s">
        <v>420</v>
      </c>
      <c r="B101" s="3">
        <v>16971256</v>
      </c>
      <c r="C101" s="3" t="s">
        <v>13</v>
      </c>
      <c r="D101" t="s">
        <v>421</v>
      </c>
      <c r="E101" s="3">
        <v>161</v>
      </c>
      <c r="F101" s="4">
        <v>0.11180555555555556</v>
      </c>
      <c r="G101" t="b">
        <v>0</v>
      </c>
      <c r="H101" t="s">
        <v>422</v>
      </c>
      <c r="I101" t="s">
        <v>401</v>
      </c>
      <c r="J101" t="str">
        <f t="shared" si="1"/>
        <v>Selena Gomez</v>
      </c>
      <c r="K101" t="s">
        <v>402</v>
      </c>
      <c r="L101" s="3">
        <v>35500000</v>
      </c>
    </row>
  </sheetData>
  <autoFilter ref="A1:L101" xr:uid="{C8CE5730-E8CC-4C20-B62E-629B76CC3C6D}"/>
  <hyperlinks>
    <hyperlink ref="K2" r:id="rId1" xr:uid="{BF5D4F91-3421-4763-92CE-A312A04A650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4835-C9F0-4C0D-85DD-AFC570EE12F0}">
  <dimension ref="A1:R101"/>
  <sheetViews>
    <sheetView tabSelected="1" topLeftCell="G1" zoomScale="73" zoomScaleNormal="51" workbookViewId="0">
      <selection activeCell="N2" sqref="N2:N66"/>
    </sheetView>
  </sheetViews>
  <sheetFormatPr defaultRowHeight="14.4" x14ac:dyDescent="0.3"/>
  <cols>
    <col min="1" max="1" width="70.33203125" customWidth="1"/>
    <col min="2" max="2" width="28.88671875" customWidth="1"/>
    <col min="3" max="3" width="33.109375" customWidth="1"/>
    <col min="4" max="4" width="22.88671875" customWidth="1"/>
    <col min="5" max="5" width="22" customWidth="1"/>
    <col min="6" max="6" width="15.33203125" customWidth="1"/>
    <col min="7" max="7" width="16.77734375" customWidth="1"/>
    <col min="8" max="8" width="19.88671875" customWidth="1"/>
    <col min="9" max="9" width="26.5546875" customWidth="1"/>
    <col min="10" max="10" width="26.33203125" customWidth="1"/>
    <col min="11" max="12" width="33.109375" customWidth="1"/>
    <col min="13" max="13" width="22.6640625" customWidth="1"/>
    <col min="14" max="14" width="27.88671875" customWidth="1"/>
    <col min="17" max="17" width="35.6640625" customWidth="1"/>
    <col min="18" max="18" width="20" customWidth="1"/>
  </cols>
  <sheetData>
    <row r="1" spans="1:18" ht="19.8" x14ac:dyDescent="0.4">
      <c r="A1" s="16" t="s">
        <v>423</v>
      </c>
      <c r="B1" s="16" t="s">
        <v>424</v>
      </c>
      <c r="C1" s="16" t="s">
        <v>425</v>
      </c>
      <c r="D1" s="16" t="s">
        <v>426</v>
      </c>
      <c r="E1" s="16" t="s">
        <v>427</v>
      </c>
      <c r="F1" s="16" t="s">
        <v>428</v>
      </c>
      <c r="G1" s="16" t="s">
        <v>429</v>
      </c>
      <c r="H1" s="16" t="s">
        <v>430</v>
      </c>
      <c r="I1" s="16" t="s">
        <v>431</v>
      </c>
      <c r="J1" s="16" t="s">
        <v>432</v>
      </c>
      <c r="K1" s="16" t="s">
        <v>433</v>
      </c>
      <c r="L1" s="24"/>
      <c r="M1" s="22" t="s">
        <v>466</v>
      </c>
      <c r="N1" s="22" t="s">
        <v>467</v>
      </c>
      <c r="Q1" s="21" t="s">
        <v>462</v>
      </c>
      <c r="R1" s="7"/>
    </row>
    <row r="2" spans="1:18" ht="19.8" x14ac:dyDescent="0.4">
      <c r="A2" s="7" t="s">
        <v>442</v>
      </c>
      <c r="B2" s="17">
        <v>2009014557</v>
      </c>
      <c r="C2" s="17" t="s">
        <v>13</v>
      </c>
      <c r="D2" s="7" t="s">
        <v>449</v>
      </c>
      <c r="E2" s="17">
        <v>173</v>
      </c>
      <c r="F2" s="18">
        <v>0.12013888888888889</v>
      </c>
      <c r="G2" s="7" t="b">
        <v>0</v>
      </c>
      <c r="H2" s="7" t="s">
        <v>15</v>
      </c>
      <c r="I2" s="7" t="s">
        <v>436</v>
      </c>
      <c r="J2" s="19" t="s">
        <v>17</v>
      </c>
      <c r="K2" s="17">
        <v>19200000</v>
      </c>
      <c r="L2" s="17"/>
      <c r="M2" s="8" t="s">
        <v>367</v>
      </c>
      <c r="N2">
        <f>SUMIF(M2:M66,M2,B2:B101)</f>
        <v>2009014557</v>
      </c>
      <c r="Q2" s="20" t="s">
        <v>463</v>
      </c>
      <c r="R2" s="7">
        <v>76200000</v>
      </c>
    </row>
    <row r="3" spans="1:18" ht="19.8" x14ac:dyDescent="0.4">
      <c r="A3" s="7" t="s">
        <v>18</v>
      </c>
      <c r="B3" s="17">
        <v>1324833300</v>
      </c>
      <c r="C3" s="17" t="s">
        <v>13</v>
      </c>
      <c r="D3" s="7" t="s">
        <v>19</v>
      </c>
      <c r="E3" s="17">
        <v>252</v>
      </c>
      <c r="F3" s="18">
        <v>0.17499999999999999</v>
      </c>
      <c r="G3" s="7" t="b">
        <v>0</v>
      </c>
      <c r="H3" s="7" t="s">
        <v>20</v>
      </c>
      <c r="I3" s="7" t="s">
        <v>21</v>
      </c>
      <c r="J3" s="19" t="s">
        <v>22</v>
      </c>
      <c r="K3" s="17">
        <v>29600000</v>
      </c>
      <c r="L3" s="17"/>
      <c r="M3" s="8" t="s">
        <v>62</v>
      </c>
      <c r="N3">
        <f t="shared" ref="N3:N66" si="0">SUMIF(M3:M67,M3,B3:B102)</f>
        <v>1324833300</v>
      </c>
      <c r="Q3" s="20" t="s">
        <v>464</v>
      </c>
      <c r="R3" s="7">
        <v>1</v>
      </c>
    </row>
    <row r="4" spans="1:18" x14ac:dyDescent="0.3">
      <c r="A4" s="7" t="s">
        <v>443</v>
      </c>
      <c r="B4" s="17">
        <v>2536628</v>
      </c>
      <c r="C4" s="17" t="s">
        <v>13</v>
      </c>
      <c r="D4" s="7" t="s">
        <v>24</v>
      </c>
      <c r="E4" s="17">
        <v>160</v>
      </c>
      <c r="F4" s="18">
        <v>0.1111111111111111</v>
      </c>
      <c r="G4" s="7" t="b">
        <v>0</v>
      </c>
      <c r="H4" s="7" t="s">
        <v>25</v>
      </c>
      <c r="I4" s="7" t="s">
        <v>437</v>
      </c>
      <c r="J4" s="19" t="s">
        <v>27</v>
      </c>
      <c r="K4" s="17">
        <v>408000</v>
      </c>
      <c r="L4" s="17"/>
      <c r="M4" s="8" t="s">
        <v>389</v>
      </c>
      <c r="N4">
        <f t="shared" si="0"/>
        <v>2536628</v>
      </c>
      <c r="Q4" s="7"/>
      <c r="R4" s="7"/>
    </row>
    <row r="5" spans="1:18" x14ac:dyDescent="0.3">
      <c r="A5" s="7" t="s">
        <v>28</v>
      </c>
      <c r="B5" s="17">
        <v>558329099</v>
      </c>
      <c r="C5" s="17" t="s">
        <v>13</v>
      </c>
      <c r="D5" s="7" t="s">
        <v>29</v>
      </c>
      <c r="E5" s="17">
        <v>231</v>
      </c>
      <c r="F5" s="18">
        <v>0.16041666666666668</v>
      </c>
      <c r="G5" s="7" t="b">
        <v>0</v>
      </c>
      <c r="H5" s="7" t="s">
        <v>30</v>
      </c>
      <c r="I5" s="7" t="s">
        <v>31</v>
      </c>
      <c r="J5" s="19" t="s">
        <v>32</v>
      </c>
      <c r="K5" s="17">
        <v>56800000</v>
      </c>
      <c r="L5" s="17"/>
      <c r="M5" s="8" t="s">
        <v>232</v>
      </c>
      <c r="N5">
        <f t="shared" si="0"/>
        <v>558329099</v>
      </c>
      <c r="Q5" s="7"/>
      <c r="R5" s="7"/>
    </row>
    <row r="6" spans="1:18" x14ac:dyDescent="0.3">
      <c r="A6" s="7" t="s">
        <v>444</v>
      </c>
      <c r="B6" s="17">
        <v>2113548</v>
      </c>
      <c r="C6" s="17" t="s">
        <v>13</v>
      </c>
      <c r="D6" s="7" t="s">
        <v>24</v>
      </c>
      <c r="E6" s="17">
        <v>180</v>
      </c>
      <c r="F6" s="18">
        <v>0.125</v>
      </c>
      <c r="G6" s="7" t="b">
        <v>0</v>
      </c>
      <c r="H6" s="7" t="s">
        <v>34</v>
      </c>
      <c r="I6" s="7" t="s">
        <v>437</v>
      </c>
      <c r="J6" s="7" t="s">
        <v>27</v>
      </c>
      <c r="K6" s="17">
        <v>408000</v>
      </c>
      <c r="L6" s="17"/>
      <c r="M6" s="8" t="s">
        <v>31</v>
      </c>
      <c r="N6">
        <f t="shared" si="0"/>
        <v>2113548</v>
      </c>
      <c r="Q6" s="7"/>
      <c r="R6" s="7"/>
    </row>
    <row r="7" spans="1:18" x14ac:dyDescent="0.3">
      <c r="A7" s="7" t="s">
        <v>35</v>
      </c>
      <c r="B7" s="17">
        <v>472570966</v>
      </c>
      <c r="C7" s="17" t="s">
        <v>13</v>
      </c>
      <c r="D7" s="7" t="s">
        <v>36</v>
      </c>
      <c r="E7" s="17">
        <v>201</v>
      </c>
      <c r="F7" s="18">
        <v>0.13958333333333334</v>
      </c>
      <c r="G7" s="7" t="b">
        <v>0</v>
      </c>
      <c r="H7" s="7" t="s">
        <v>37</v>
      </c>
      <c r="I7" s="7" t="s">
        <v>38</v>
      </c>
      <c r="J7" s="7" t="s">
        <v>39</v>
      </c>
      <c r="K7" s="17">
        <v>12300000</v>
      </c>
      <c r="L7" s="17"/>
      <c r="M7" s="8" t="s">
        <v>172</v>
      </c>
      <c r="N7">
        <f t="shared" si="0"/>
        <v>472570966</v>
      </c>
      <c r="Q7" s="7"/>
      <c r="R7" s="7"/>
    </row>
    <row r="8" spans="1:18" ht="19.8" x14ac:dyDescent="0.4">
      <c r="A8" s="7" t="s">
        <v>40</v>
      </c>
      <c r="B8" s="17">
        <v>191073418</v>
      </c>
      <c r="C8" s="17" t="s">
        <v>13</v>
      </c>
      <c r="D8" s="7" t="s">
        <v>450</v>
      </c>
      <c r="E8" s="17">
        <v>269</v>
      </c>
      <c r="F8" s="18">
        <v>0.18680555555555556</v>
      </c>
      <c r="G8" s="7" t="b">
        <v>0</v>
      </c>
      <c r="H8" s="7" t="s">
        <v>42</v>
      </c>
      <c r="I8" s="7" t="s">
        <v>21</v>
      </c>
      <c r="J8" s="7" t="s">
        <v>22</v>
      </c>
      <c r="K8" s="17">
        <v>29600000</v>
      </c>
      <c r="L8" s="17"/>
      <c r="M8" s="8" t="s">
        <v>241</v>
      </c>
      <c r="N8">
        <f t="shared" si="0"/>
        <v>191073418</v>
      </c>
      <c r="Q8" s="20" t="s">
        <v>465</v>
      </c>
      <c r="R8" s="7">
        <v>203.9</v>
      </c>
    </row>
    <row r="9" spans="1:18" x14ac:dyDescent="0.3">
      <c r="A9" s="7" t="s">
        <v>43</v>
      </c>
      <c r="B9" s="17">
        <v>184696317</v>
      </c>
      <c r="C9" s="17" t="s">
        <v>13</v>
      </c>
      <c r="D9" s="7" t="s">
        <v>44</v>
      </c>
      <c r="E9" s="17">
        <v>183</v>
      </c>
      <c r="F9" s="18">
        <v>0.12708333333333333</v>
      </c>
      <c r="G9" s="7" t="b">
        <v>0</v>
      </c>
      <c r="H9" s="7" t="s">
        <v>45</v>
      </c>
      <c r="I9" s="7" t="s">
        <v>46</v>
      </c>
      <c r="J9" s="7" t="s">
        <v>47</v>
      </c>
      <c r="K9" s="17">
        <v>58500000</v>
      </c>
      <c r="L9" s="17"/>
      <c r="M9" s="8" t="s">
        <v>145</v>
      </c>
      <c r="N9">
        <f t="shared" si="0"/>
        <v>184696317</v>
      </c>
    </row>
    <row r="10" spans="1:18" x14ac:dyDescent="0.3">
      <c r="A10" s="7" t="s">
        <v>48</v>
      </c>
      <c r="B10" s="17">
        <v>187281056</v>
      </c>
      <c r="C10" s="17" t="s">
        <v>49</v>
      </c>
      <c r="D10" s="7" t="s">
        <v>50</v>
      </c>
      <c r="E10" s="17">
        <v>221</v>
      </c>
      <c r="F10" s="18">
        <v>0.15347222222222223</v>
      </c>
      <c r="G10" s="7" t="b">
        <v>0</v>
      </c>
      <c r="H10" s="7" t="s">
        <v>51</v>
      </c>
      <c r="I10" s="7" t="s">
        <v>52</v>
      </c>
      <c r="J10" s="7" t="s">
        <v>53</v>
      </c>
      <c r="K10" s="17">
        <v>1220000</v>
      </c>
      <c r="L10" s="17"/>
      <c r="M10" s="8" t="s">
        <v>320</v>
      </c>
      <c r="N10">
        <f t="shared" si="0"/>
        <v>187281056</v>
      </c>
    </row>
    <row r="11" spans="1:18" x14ac:dyDescent="0.3">
      <c r="A11" s="7" t="s">
        <v>54</v>
      </c>
      <c r="B11" s="17">
        <v>40408980</v>
      </c>
      <c r="C11" s="17" t="s">
        <v>13</v>
      </c>
      <c r="D11" s="7" t="s">
        <v>29</v>
      </c>
      <c r="E11" s="17">
        <v>261</v>
      </c>
      <c r="F11" s="18">
        <v>0.18124999999999999</v>
      </c>
      <c r="G11" s="7" t="b">
        <v>0</v>
      </c>
      <c r="H11" s="7" t="s">
        <v>55</v>
      </c>
      <c r="I11" s="7" t="s">
        <v>31</v>
      </c>
      <c r="J11" s="7" t="s">
        <v>32</v>
      </c>
      <c r="K11" s="17">
        <v>56800000</v>
      </c>
      <c r="L11" s="17"/>
      <c r="M11" s="8" t="s">
        <v>332</v>
      </c>
      <c r="N11">
        <f t="shared" si="0"/>
        <v>40408980</v>
      </c>
    </row>
    <row r="12" spans="1:18" x14ac:dyDescent="0.3">
      <c r="A12" s="7" t="s">
        <v>56</v>
      </c>
      <c r="B12" s="17">
        <v>1198540</v>
      </c>
      <c r="C12" s="17" t="s">
        <v>49</v>
      </c>
      <c r="D12" s="7"/>
      <c r="E12" s="17">
        <v>152</v>
      </c>
      <c r="F12" s="18">
        <v>0.10555555555555556</v>
      </c>
      <c r="G12" s="7" t="b">
        <v>0</v>
      </c>
      <c r="H12" s="7" t="s">
        <v>57</v>
      </c>
      <c r="I12" s="7" t="s">
        <v>58</v>
      </c>
      <c r="J12" s="7" t="s">
        <v>59</v>
      </c>
      <c r="K12" s="17">
        <v>142000</v>
      </c>
      <c r="L12" s="17"/>
      <c r="M12" s="8" t="s">
        <v>85</v>
      </c>
      <c r="N12">
        <f t="shared" si="0"/>
        <v>1198540</v>
      </c>
    </row>
    <row r="13" spans="1:18" x14ac:dyDescent="0.3">
      <c r="A13" s="7" t="s">
        <v>60</v>
      </c>
      <c r="B13" s="17">
        <v>147871443</v>
      </c>
      <c r="C13" s="17" t="s">
        <v>49</v>
      </c>
      <c r="D13" s="7"/>
      <c r="E13" s="17">
        <v>187</v>
      </c>
      <c r="F13" s="18">
        <v>0.12986111111111112</v>
      </c>
      <c r="G13" s="7" t="b">
        <v>0</v>
      </c>
      <c r="H13" s="7" t="s">
        <v>61</v>
      </c>
      <c r="I13" s="7" t="s">
        <v>62</v>
      </c>
      <c r="J13" s="7" t="s">
        <v>63</v>
      </c>
      <c r="K13" s="17">
        <v>4050000</v>
      </c>
      <c r="L13" s="17"/>
      <c r="M13" s="8" t="s">
        <v>280</v>
      </c>
      <c r="N13">
        <f t="shared" si="0"/>
        <v>147871443</v>
      </c>
    </row>
    <row r="14" spans="1:18" x14ac:dyDescent="0.3">
      <c r="A14" s="7" t="s">
        <v>64</v>
      </c>
      <c r="B14" s="17">
        <v>142084039</v>
      </c>
      <c r="C14" s="17" t="s">
        <v>49</v>
      </c>
      <c r="D14" s="7"/>
      <c r="E14" s="17">
        <v>178</v>
      </c>
      <c r="F14" s="18">
        <v>0.12361111111111112</v>
      </c>
      <c r="G14" s="7" t="b">
        <v>0</v>
      </c>
      <c r="H14" s="7" t="s">
        <v>65</v>
      </c>
      <c r="I14" s="7" t="s">
        <v>66</v>
      </c>
      <c r="J14" s="7" t="s">
        <v>67</v>
      </c>
      <c r="K14" s="17">
        <v>19700000</v>
      </c>
      <c r="L14" s="17"/>
      <c r="M14" s="8" t="s">
        <v>285</v>
      </c>
      <c r="N14">
        <f t="shared" si="0"/>
        <v>142084039</v>
      </c>
    </row>
    <row r="15" spans="1:18" x14ac:dyDescent="0.3">
      <c r="A15" s="7" t="s">
        <v>68</v>
      </c>
      <c r="B15" s="17">
        <v>288277902</v>
      </c>
      <c r="C15" s="17" t="s">
        <v>13</v>
      </c>
      <c r="D15" s="7" t="s">
        <v>69</v>
      </c>
      <c r="E15" s="17">
        <v>173</v>
      </c>
      <c r="F15" s="18">
        <v>0.12013888888888889</v>
      </c>
      <c r="G15" s="7" t="b">
        <v>0</v>
      </c>
      <c r="H15" s="7" t="s">
        <v>70</v>
      </c>
      <c r="I15" s="7" t="s">
        <v>71</v>
      </c>
      <c r="J15" s="7" t="s">
        <v>72</v>
      </c>
      <c r="K15" s="17">
        <v>955000</v>
      </c>
      <c r="L15" s="17"/>
      <c r="M15" s="8" t="s">
        <v>197</v>
      </c>
      <c r="N15">
        <f t="shared" si="0"/>
        <v>288277902</v>
      </c>
    </row>
    <row r="16" spans="1:18" x14ac:dyDescent="0.3">
      <c r="A16" s="7" t="s">
        <v>73</v>
      </c>
      <c r="B16" s="17">
        <v>397228595</v>
      </c>
      <c r="C16" s="17" t="s">
        <v>13</v>
      </c>
      <c r="D16" s="7" t="s">
        <v>74</v>
      </c>
      <c r="E16" s="17">
        <v>354</v>
      </c>
      <c r="F16" s="18">
        <v>0.24583333333333332</v>
      </c>
      <c r="G16" s="7" t="b">
        <v>0</v>
      </c>
      <c r="H16" s="7" t="s">
        <v>75</v>
      </c>
      <c r="I16" s="7" t="s">
        <v>66</v>
      </c>
      <c r="J16" s="7" t="s">
        <v>76</v>
      </c>
      <c r="K16" s="17">
        <v>19700000</v>
      </c>
      <c r="L16" s="17"/>
      <c r="M16" s="8" t="s">
        <v>259</v>
      </c>
      <c r="N16">
        <f t="shared" si="0"/>
        <v>397228595</v>
      </c>
    </row>
    <row r="17" spans="1:14" x14ac:dyDescent="0.3">
      <c r="A17" s="7" t="s">
        <v>77</v>
      </c>
      <c r="B17" s="17">
        <v>115058148</v>
      </c>
      <c r="C17" s="17" t="s">
        <v>13</v>
      </c>
      <c r="D17" s="7" t="s">
        <v>78</v>
      </c>
      <c r="E17" s="17">
        <v>244</v>
      </c>
      <c r="F17" s="18">
        <v>0.16944444444444445</v>
      </c>
      <c r="G17" s="7" t="b">
        <v>0</v>
      </c>
      <c r="H17" s="7" t="s">
        <v>79</v>
      </c>
      <c r="I17" s="7" t="s">
        <v>80</v>
      </c>
      <c r="J17" s="7" t="s">
        <v>81</v>
      </c>
      <c r="K17" s="17">
        <v>8080000</v>
      </c>
      <c r="L17" s="17"/>
      <c r="M17" s="8" t="s">
        <v>290</v>
      </c>
      <c r="N17">
        <f t="shared" si="0"/>
        <v>115058148</v>
      </c>
    </row>
    <row r="18" spans="1:14" x14ac:dyDescent="0.3">
      <c r="A18" s="7" t="s">
        <v>82</v>
      </c>
      <c r="B18" s="17">
        <v>12089</v>
      </c>
      <c r="C18" s="17" t="s">
        <v>13</v>
      </c>
      <c r="D18" s="7" t="s">
        <v>83</v>
      </c>
      <c r="E18" s="17">
        <v>189</v>
      </c>
      <c r="F18" s="18">
        <v>0.13125000000000001</v>
      </c>
      <c r="G18" s="7" t="b">
        <v>0</v>
      </c>
      <c r="H18" s="7" t="s">
        <v>84</v>
      </c>
      <c r="I18" s="7" t="s">
        <v>85</v>
      </c>
      <c r="J18" s="7" t="s">
        <v>86</v>
      </c>
      <c r="K18" s="17">
        <v>1320</v>
      </c>
      <c r="L18" s="17"/>
      <c r="M18" s="8" t="s">
        <v>119</v>
      </c>
      <c r="N18">
        <f t="shared" si="0"/>
        <v>12089</v>
      </c>
    </row>
    <row r="19" spans="1:14" x14ac:dyDescent="0.3">
      <c r="A19" s="7" t="s">
        <v>87</v>
      </c>
      <c r="B19" s="17">
        <v>110991682</v>
      </c>
      <c r="C19" s="17" t="s">
        <v>13</v>
      </c>
      <c r="D19" s="7" t="s">
        <v>88</v>
      </c>
      <c r="E19" s="17">
        <v>284</v>
      </c>
      <c r="F19" s="18">
        <v>0.19722222222222222</v>
      </c>
      <c r="G19" s="7" t="b">
        <v>0</v>
      </c>
      <c r="H19" s="7" t="s">
        <v>89</v>
      </c>
      <c r="I19" s="7" t="s">
        <v>90</v>
      </c>
      <c r="J19" s="7" t="s">
        <v>91</v>
      </c>
      <c r="K19" s="17">
        <v>565000</v>
      </c>
      <c r="L19" s="17"/>
      <c r="M19" s="8" t="s">
        <v>214</v>
      </c>
      <c r="N19">
        <f t="shared" si="0"/>
        <v>110991682</v>
      </c>
    </row>
    <row r="20" spans="1:14" x14ac:dyDescent="0.3">
      <c r="A20" s="7" t="s">
        <v>92</v>
      </c>
      <c r="B20" s="17">
        <v>160421970</v>
      </c>
      <c r="C20" s="17" t="s">
        <v>13</v>
      </c>
      <c r="D20" s="7" t="s">
        <v>93</v>
      </c>
      <c r="E20" s="17">
        <v>185</v>
      </c>
      <c r="F20" s="18">
        <v>0.12847222222222221</v>
      </c>
      <c r="G20" s="7" t="b">
        <v>0</v>
      </c>
      <c r="H20" s="7" t="s">
        <v>94</v>
      </c>
      <c r="I20" s="7" t="s">
        <v>95</v>
      </c>
      <c r="J20" s="7" t="s">
        <v>96</v>
      </c>
      <c r="K20" s="17">
        <v>6070000</v>
      </c>
      <c r="L20" s="17"/>
      <c r="M20" s="8" t="s">
        <v>359</v>
      </c>
      <c r="N20">
        <f t="shared" si="0"/>
        <v>160421970</v>
      </c>
    </row>
    <row r="21" spans="1:14" x14ac:dyDescent="0.3">
      <c r="A21" s="7" t="s">
        <v>97</v>
      </c>
      <c r="B21" s="17">
        <v>92973980</v>
      </c>
      <c r="C21" s="17" t="s">
        <v>13</v>
      </c>
      <c r="D21" s="7" t="s">
        <v>98</v>
      </c>
      <c r="E21" s="17">
        <v>221</v>
      </c>
      <c r="F21" s="18">
        <v>0.15347222222222223</v>
      </c>
      <c r="G21" s="7" t="b">
        <v>0</v>
      </c>
      <c r="H21" s="7" t="s">
        <v>99</v>
      </c>
      <c r="I21" s="7" t="s">
        <v>100</v>
      </c>
      <c r="J21" s="7" t="s">
        <v>101</v>
      </c>
      <c r="K21" s="17">
        <v>16100000</v>
      </c>
      <c r="L21" s="17"/>
      <c r="M21" s="8" t="s">
        <v>46</v>
      </c>
      <c r="N21">
        <f t="shared" si="0"/>
        <v>92973980</v>
      </c>
    </row>
    <row r="22" spans="1:14" x14ac:dyDescent="0.3">
      <c r="A22" s="7" t="s">
        <v>102</v>
      </c>
      <c r="B22" s="17">
        <v>253618903</v>
      </c>
      <c r="C22" s="17" t="s">
        <v>13</v>
      </c>
      <c r="D22" s="7" t="s">
        <v>36</v>
      </c>
      <c r="E22" s="17">
        <v>263</v>
      </c>
      <c r="F22" s="18">
        <v>0.18263888888888888</v>
      </c>
      <c r="G22" s="7" t="b">
        <v>0</v>
      </c>
      <c r="H22" s="7" t="s">
        <v>103</v>
      </c>
      <c r="I22" s="7" t="s">
        <v>38</v>
      </c>
      <c r="J22" s="7" t="s">
        <v>39</v>
      </c>
      <c r="K22" s="17">
        <v>12300000</v>
      </c>
      <c r="L22" s="17"/>
      <c r="M22" s="8" t="s">
        <v>434</v>
      </c>
      <c r="N22">
        <f t="shared" si="0"/>
        <v>253618903</v>
      </c>
    </row>
    <row r="23" spans="1:14" x14ac:dyDescent="0.3">
      <c r="A23" s="7" t="s">
        <v>104</v>
      </c>
      <c r="B23" s="17">
        <v>7805</v>
      </c>
      <c r="C23" s="17" t="s">
        <v>13</v>
      </c>
      <c r="D23" s="7" t="s">
        <v>105</v>
      </c>
      <c r="E23" s="17">
        <v>191</v>
      </c>
      <c r="F23" s="18">
        <v>0.13263888888888889</v>
      </c>
      <c r="G23" s="7" t="b">
        <v>0</v>
      </c>
      <c r="H23" s="7" t="s">
        <v>106</v>
      </c>
      <c r="I23" s="7" t="s">
        <v>107</v>
      </c>
      <c r="J23" s="7" t="s">
        <v>108</v>
      </c>
      <c r="K23" s="17">
        <v>14800</v>
      </c>
      <c r="L23" s="17"/>
      <c r="M23" s="8" t="s">
        <v>141</v>
      </c>
      <c r="N23">
        <f t="shared" si="0"/>
        <v>7805</v>
      </c>
    </row>
    <row r="24" spans="1:14" x14ac:dyDescent="0.3">
      <c r="A24" s="7" t="s">
        <v>109</v>
      </c>
      <c r="B24" s="17">
        <v>45822601</v>
      </c>
      <c r="C24" s="17" t="s">
        <v>13</v>
      </c>
      <c r="D24" s="7"/>
      <c r="E24" s="17">
        <v>156</v>
      </c>
      <c r="F24" s="18">
        <v>0.10833333333333334</v>
      </c>
      <c r="G24" s="7" t="b">
        <v>0</v>
      </c>
      <c r="H24" s="7" t="s">
        <v>110</v>
      </c>
      <c r="I24" s="7" t="s">
        <v>111</v>
      </c>
      <c r="J24" s="7" t="s">
        <v>112</v>
      </c>
      <c r="K24" s="17">
        <v>655000</v>
      </c>
      <c r="L24" s="17"/>
      <c r="M24" s="8" t="s">
        <v>414</v>
      </c>
      <c r="N24">
        <f t="shared" si="0"/>
        <v>45822601</v>
      </c>
    </row>
    <row r="25" spans="1:14" x14ac:dyDescent="0.3">
      <c r="A25" s="7" t="s">
        <v>113</v>
      </c>
      <c r="B25" s="17">
        <v>80889460</v>
      </c>
      <c r="C25" s="17" t="s">
        <v>13</v>
      </c>
      <c r="D25" s="7" t="s">
        <v>114</v>
      </c>
      <c r="E25" s="17">
        <v>236</v>
      </c>
      <c r="F25" s="18">
        <v>0.16388888888888889</v>
      </c>
      <c r="G25" s="7" t="b">
        <v>0</v>
      </c>
      <c r="H25" s="7" t="s">
        <v>115</v>
      </c>
      <c r="I25" s="7" t="s">
        <v>38</v>
      </c>
      <c r="J25" s="7" t="s">
        <v>39</v>
      </c>
      <c r="K25" s="17">
        <v>12300000</v>
      </c>
      <c r="L25" s="17"/>
      <c r="M25" s="8" t="s">
        <v>347</v>
      </c>
      <c r="N25">
        <f t="shared" si="0"/>
        <v>80889460</v>
      </c>
    </row>
    <row r="26" spans="1:14" x14ac:dyDescent="0.3">
      <c r="A26" s="7" t="s">
        <v>116</v>
      </c>
      <c r="B26" s="17">
        <v>51336708</v>
      </c>
      <c r="C26" s="17" t="s">
        <v>13</v>
      </c>
      <c r="D26" s="7" t="s">
        <v>117</v>
      </c>
      <c r="E26" s="17">
        <v>252</v>
      </c>
      <c r="F26" s="18">
        <v>0.17499999999999999</v>
      </c>
      <c r="G26" s="7" t="b">
        <v>0</v>
      </c>
      <c r="H26" s="7" t="s">
        <v>118</v>
      </c>
      <c r="I26" s="7" t="s">
        <v>119</v>
      </c>
      <c r="J26" s="7" t="s">
        <v>120</v>
      </c>
      <c r="K26" s="17">
        <v>3140000</v>
      </c>
      <c r="L26" s="17"/>
      <c r="M26" s="8" t="s">
        <v>435</v>
      </c>
      <c r="N26">
        <f t="shared" si="0"/>
        <v>51336708</v>
      </c>
    </row>
    <row r="27" spans="1:14" x14ac:dyDescent="0.3">
      <c r="A27" s="7" t="s">
        <v>121</v>
      </c>
      <c r="B27" s="17">
        <v>87005996</v>
      </c>
      <c r="C27" s="17" t="s">
        <v>13</v>
      </c>
      <c r="D27" s="7"/>
      <c r="E27" s="17">
        <v>353</v>
      </c>
      <c r="F27" s="18">
        <v>0.24513888888888888</v>
      </c>
      <c r="G27" s="7" t="b">
        <v>0</v>
      </c>
      <c r="H27" s="7" t="s">
        <v>122</v>
      </c>
      <c r="I27" s="7" t="s">
        <v>123</v>
      </c>
      <c r="J27" s="7" t="s">
        <v>124</v>
      </c>
      <c r="K27" s="17">
        <v>255000</v>
      </c>
      <c r="L27" s="17"/>
      <c r="M27" s="8" t="s">
        <v>193</v>
      </c>
      <c r="N27">
        <f t="shared" si="0"/>
        <v>87005996</v>
      </c>
    </row>
    <row r="28" spans="1:14" x14ac:dyDescent="0.3">
      <c r="A28" s="7" t="s">
        <v>125</v>
      </c>
      <c r="B28" s="17">
        <v>17322</v>
      </c>
      <c r="C28" s="17" t="s">
        <v>13</v>
      </c>
      <c r="D28" s="7"/>
      <c r="E28" s="17">
        <v>154</v>
      </c>
      <c r="F28" s="18">
        <v>0.10694444444444444</v>
      </c>
      <c r="G28" s="7" t="b">
        <v>0</v>
      </c>
      <c r="H28" s="7" t="s">
        <v>126</v>
      </c>
      <c r="I28" s="7" t="s">
        <v>127</v>
      </c>
      <c r="J28" s="7" t="s">
        <v>128</v>
      </c>
      <c r="K28" s="17">
        <v>47</v>
      </c>
      <c r="L28" s="17"/>
      <c r="M28" s="8" t="s">
        <v>100</v>
      </c>
      <c r="N28">
        <f t="shared" si="0"/>
        <v>17322</v>
      </c>
    </row>
    <row r="29" spans="1:14" x14ac:dyDescent="0.3">
      <c r="A29" s="7" t="s">
        <v>129</v>
      </c>
      <c r="B29" s="17">
        <v>148501523</v>
      </c>
      <c r="C29" s="17" t="s">
        <v>13</v>
      </c>
      <c r="D29" s="7" t="s">
        <v>29</v>
      </c>
      <c r="E29" s="17">
        <v>324</v>
      </c>
      <c r="F29" s="18">
        <v>0.22500000000000001</v>
      </c>
      <c r="G29" s="7" t="b">
        <v>0</v>
      </c>
      <c r="H29" s="7" t="s">
        <v>130</v>
      </c>
      <c r="I29" s="7" t="s">
        <v>31</v>
      </c>
      <c r="J29" s="7" t="s">
        <v>32</v>
      </c>
      <c r="K29" s="17">
        <v>56800000</v>
      </c>
      <c r="L29" s="17"/>
      <c r="M29" s="8" t="s">
        <v>352</v>
      </c>
      <c r="N29">
        <f t="shared" si="0"/>
        <v>148501523</v>
      </c>
    </row>
    <row r="30" spans="1:14" x14ac:dyDescent="0.3">
      <c r="A30" s="7" t="s">
        <v>131</v>
      </c>
      <c r="B30" s="17">
        <v>210275500</v>
      </c>
      <c r="C30" s="17" t="s">
        <v>13</v>
      </c>
      <c r="D30" s="7" t="s">
        <v>36</v>
      </c>
      <c r="E30" s="17">
        <v>198</v>
      </c>
      <c r="F30" s="18">
        <v>0.13750000000000001</v>
      </c>
      <c r="G30" s="7" t="b">
        <v>0</v>
      </c>
      <c r="H30" s="7" t="s">
        <v>132</v>
      </c>
      <c r="I30" s="7" t="s">
        <v>38</v>
      </c>
      <c r="J30" s="7" t="s">
        <v>39</v>
      </c>
      <c r="K30" s="17">
        <v>12300000</v>
      </c>
      <c r="L30" s="17"/>
      <c r="M30" s="8" t="s">
        <v>123</v>
      </c>
      <c r="N30">
        <f t="shared" si="0"/>
        <v>210275500</v>
      </c>
    </row>
    <row r="31" spans="1:14" x14ac:dyDescent="0.3">
      <c r="A31" s="7" t="s">
        <v>133</v>
      </c>
      <c r="B31" s="17">
        <v>209840684</v>
      </c>
      <c r="C31" s="17" t="s">
        <v>13</v>
      </c>
      <c r="D31" s="7" t="s">
        <v>134</v>
      </c>
      <c r="E31" s="17">
        <v>201</v>
      </c>
      <c r="F31" s="18">
        <v>0.13958333333333334</v>
      </c>
      <c r="G31" s="7" t="b">
        <v>0</v>
      </c>
      <c r="H31" s="7" t="s">
        <v>135</v>
      </c>
      <c r="I31" s="7" t="s">
        <v>136</v>
      </c>
      <c r="J31" s="7" t="s">
        <v>137</v>
      </c>
      <c r="K31" s="17">
        <v>28400000</v>
      </c>
      <c r="L31" s="17"/>
      <c r="M31" s="8" t="s">
        <v>66</v>
      </c>
      <c r="N31">
        <f t="shared" si="0"/>
        <v>209840684</v>
      </c>
    </row>
    <row r="32" spans="1:14" x14ac:dyDescent="0.3">
      <c r="A32" s="7" t="s">
        <v>439</v>
      </c>
      <c r="B32" s="17">
        <v>28007213</v>
      </c>
      <c r="C32" s="17" t="s">
        <v>13</v>
      </c>
      <c r="D32" s="7" t="s">
        <v>139</v>
      </c>
      <c r="E32" s="17">
        <v>166</v>
      </c>
      <c r="F32" s="18">
        <v>0.11527777777777778</v>
      </c>
      <c r="G32" s="7" t="b">
        <v>0</v>
      </c>
      <c r="H32" s="7" t="s">
        <v>140</v>
      </c>
      <c r="I32" s="7" t="s">
        <v>141</v>
      </c>
      <c r="J32" s="7" t="s">
        <v>142</v>
      </c>
      <c r="K32" s="17">
        <v>1770000</v>
      </c>
      <c r="L32" s="17"/>
      <c r="M32" s="8" t="s">
        <v>381</v>
      </c>
      <c r="N32">
        <f t="shared" si="0"/>
        <v>28007213</v>
      </c>
    </row>
    <row r="33" spans="1:14" x14ac:dyDescent="0.3">
      <c r="A33" s="7" t="s">
        <v>143</v>
      </c>
      <c r="B33" s="17">
        <v>6605</v>
      </c>
      <c r="C33" s="17" t="s">
        <v>13</v>
      </c>
      <c r="D33" s="7"/>
      <c r="E33" s="17">
        <v>137</v>
      </c>
      <c r="F33" s="18">
        <v>9.5138888888888884E-2</v>
      </c>
      <c r="G33" s="7" t="b">
        <v>0</v>
      </c>
      <c r="H33" s="7" t="s">
        <v>144</v>
      </c>
      <c r="I33" s="7" t="s">
        <v>145</v>
      </c>
      <c r="J33" s="7" t="s">
        <v>146</v>
      </c>
      <c r="K33" s="17">
        <v>3630</v>
      </c>
      <c r="L33" s="17"/>
      <c r="M33" s="8" t="s">
        <v>21</v>
      </c>
      <c r="N33">
        <f t="shared" si="0"/>
        <v>6605</v>
      </c>
    </row>
    <row r="34" spans="1:14" x14ac:dyDescent="0.3">
      <c r="A34" s="7" t="s">
        <v>147</v>
      </c>
      <c r="B34" s="17">
        <v>236500879</v>
      </c>
      <c r="C34" s="17" t="s">
        <v>13</v>
      </c>
      <c r="D34" s="7"/>
      <c r="E34" s="17">
        <v>193</v>
      </c>
      <c r="F34" s="18">
        <v>0.13402777777777777</v>
      </c>
      <c r="G34" s="7" t="b">
        <v>0</v>
      </c>
      <c r="H34" s="7" t="s">
        <v>148</v>
      </c>
      <c r="I34" s="7" t="s">
        <v>149</v>
      </c>
      <c r="J34" s="7" t="s">
        <v>150</v>
      </c>
      <c r="K34" s="17">
        <v>1230000</v>
      </c>
      <c r="L34" s="17"/>
      <c r="M34" s="8" t="s">
        <v>80</v>
      </c>
      <c r="N34">
        <f t="shared" si="0"/>
        <v>236500879</v>
      </c>
    </row>
    <row r="35" spans="1:14" x14ac:dyDescent="0.3">
      <c r="A35" s="7" t="s">
        <v>151</v>
      </c>
      <c r="B35" s="17">
        <v>36173120</v>
      </c>
      <c r="C35" s="17" t="s">
        <v>13</v>
      </c>
      <c r="D35" s="7" t="s">
        <v>152</v>
      </c>
      <c r="E35" s="17">
        <v>174</v>
      </c>
      <c r="F35" s="18">
        <v>0.12083333333333333</v>
      </c>
      <c r="G35" s="7" t="b">
        <v>0</v>
      </c>
      <c r="H35" s="7" t="s">
        <v>153</v>
      </c>
      <c r="I35" s="7" t="s">
        <v>154</v>
      </c>
      <c r="J35" s="7" t="s">
        <v>155</v>
      </c>
      <c r="K35" s="17">
        <v>391000</v>
      </c>
      <c r="L35" s="17"/>
      <c r="M35" s="8" t="s">
        <v>90</v>
      </c>
      <c r="N35">
        <f t="shared" si="0"/>
        <v>36173120</v>
      </c>
    </row>
    <row r="36" spans="1:14" x14ac:dyDescent="0.3">
      <c r="A36" s="7" t="s">
        <v>445</v>
      </c>
      <c r="B36" s="17">
        <v>119135427</v>
      </c>
      <c r="C36" s="17" t="s">
        <v>13</v>
      </c>
      <c r="D36" s="7" t="s">
        <v>451</v>
      </c>
      <c r="E36" s="17">
        <v>218</v>
      </c>
      <c r="F36" s="18">
        <v>0.15138888888888888</v>
      </c>
      <c r="G36" s="7" t="b">
        <v>0</v>
      </c>
      <c r="H36" s="7" t="s">
        <v>158</v>
      </c>
      <c r="I36" s="7" t="s">
        <v>436</v>
      </c>
      <c r="J36" s="7" t="s">
        <v>17</v>
      </c>
      <c r="K36" s="17">
        <v>19200000</v>
      </c>
      <c r="L36" s="17"/>
      <c r="M36" s="8" t="s">
        <v>254</v>
      </c>
      <c r="N36">
        <f t="shared" si="0"/>
        <v>119135427</v>
      </c>
    </row>
    <row r="37" spans="1:14" x14ac:dyDescent="0.3">
      <c r="A37" s="7" t="s">
        <v>159</v>
      </c>
      <c r="B37" s="17">
        <v>70965585</v>
      </c>
      <c r="C37" s="17" t="s">
        <v>49</v>
      </c>
      <c r="D37" s="7"/>
      <c r="E37" s="17">
        <v>166</v>
      </c>
      <c r="F37" s="18">
        <v>0.11527777777777778</v>
      </c>
      <c r="G37" s="7" t="b">
        <v>0</v>
      </c>
      <c r="H37" s="7" t="s">
        <v>160</v>
      </c>
      <c r="I37" s="7" t="s">
        <v>66</v>
      </c>
      <c r="J37" s="7" t="s">
        <v>67</v>
      </c>
      <c r="K37" s="17">
        <v>19700000</v>
      </c>
      <c r="L37" s="17"/>
      <c r="M37" s="8" t="s">
        <v>393</v>
      </c>
      <c r="N37">
        <f t="shared" si="0"/>
        <v>70965585</v>
      </c>
    </row>
    <row r="38" spans="1:14" x14ac:dyDescent="0.3">
      <c r="A38" s="7" t="s">
        <v>161</v>
      </c>
      <c r="B38" s="17">
        <v>7550110</v>
      </c>
      <c r="C38" s="17" t="s">
        <v>13</v>
      </c>
      <c r="D38" s="7" t="s">
        <v>162</v>
      </c>
      <c r="E38" s="17">
        <v>222</v>
      </c>
      <c r="F38" s="18">
        <v>0.15416666666666667</v>
      </c>
      <c r="G38" s="7" t="b">
        <v>0</v>
      </c>
      <c r="H38" s="7" t="s">
        <v>163</v>
      </c>
      <c r="I38" s="7" t="s">
        <v>164</v>
      </c>
      <c r="J38" s="7" t="s">
        <v>165</v>
      </c>
      <c r="K38" s="17">
        <v>360000</v>
      </c>
      <c r="L38" s="17"/>
      <c r="M38" s="8" t="s">
        <v>303</v>
      </c>
      <c r="N38">
        <f t="shared" si="0"/>
        <v>7550110</v>
      </c>
    </row>
    <row r="39" spans="1:14" x14ac:dyDescent="0.3">
      <c r="A39" s="7" t="s">
        <v>446</v>
      </c>
      <c r="B39" s="17">
        <v>112391296</v>
      </c>
      <c r="C39" s="17" t="s">
        <v>13</v>
      </c>
      <c r="D39" s="7" t="s">
        <v>451</v>
      </c>
      <c r="E39" s="17">
        <v>234</v>
      </c>
      <c r="F39" s="18">
        <v>0.16250000000000001</v>
      </c>
      <c r="G39" s="7" t="b">
        <v>0</v>
      </c>
      <c r="H39" s="7" t="s">
        <v>168</v>
      </c>
      <c r="I39" s="7" t="s">
        <v>436</v>
      </c>
      <c r="J39" s="7" t="s">
        <v>17</v>
      </c>
      <c r="K39" s="17">
        <v>19200000</v>
      </c>
      <c r="L39" s="17"/>
      <c r="M39" s="8" t="s">
        <v>154</v>
      </c>
      <c r="N39">
        <f t="shared" si="0"/>
        <v>112391296</v>
      </c>
    </row>
    <row r="40" spans="1:14" x14ac:dyDescent="0.3">
      <c r="A40" s="7" t="s">
        <v>169</v>
      </c>
      <c r="B40" s="17">
        <v>118077070</v>
      </c>
      <c r="C40" s="17" t="s">
        <v>13</v>
      </c>
      <c r="D40" s="7" t="s">
        <v>170</v>
      </c>
      <c r="E40" s="17">
        <v>218</v>
      </c>
      <c r="F40" s="18">
        <v>0.15138888888888888</v>
      </c>
      <c r="G40" s="7" t="b">
        <v>0</v>
      </c>
      <c r="H40" s="7" t="s">
        <v>171</v>
      </c>
      <c r="I40" s="7" t="s">
        <v>172</v>
      </c>
      <c r="J40" s="7" t="s">
        <v>173</v>
      </c>
      <c r="K40" s="17">
        <v>2250000</v>
      </c>
      <c r="L40" s="17"/>
      <c r="M40" s="8" t="s">
        <v>127</v>
      </c>
      <c r="N40">
        <f t="shared" si="0"/>
        <v>118077070</v>
      </c>
    </row>
    <row r="41" spans="1:14" x14ac:dyDescent="0.3">
      <c r="A41" s="7" t="s">
        <v>447</v>
      </c>
      <c r="B41" s="17">
        <v>174553002</v>
      </c>
      <c r="C41" s="17" t="s">
        <v>13</v>
      </c>
      <c r="D41" s="7" t="s">
        <v>452</v>
      </c>
      <c r="E41" s="17">
        <v>191</v>
      </c>
      <c r="F41" s="18">
        <v>0.13263888888888889</v>
      </c>
      <c r="G41" s="7" t="b">
        <v>0</v>
      </c>
      <c r="H41" s="7" t="s">
        <v>176</v>
      </c>
      <c r="I41" s="7" t="s">
        <v>80</v>
      </c>
      <c r="J41" s="7" t="s">
        <v>81</v>
      </c>
      <c r="K41" s="17">
        <v>8080000</v>
      </c>
      <c r="L41" s="17"/>
      <c r="M41" s="8" t="s">
        <v>183</v>
      </c>
      <c r="N41">
        <f t="shared" si="0"/>
        <v>174553002</v>
      </c>
    </row>
    <row r="42" spans="1:14" x14ac:dyDescent="0.3">
      <c r="A42" s="7" t="s">
        <v>177</v>
      </c>
      <c r="B42" s="17">
        <v>34415168</v>
      </c>
      <c r="C42" s="17" t="s">
        <v>13</v>
      </c>
      <c r="D42" s="7" t="s">
        <v>178</v>
      </c>
      <c r="E42" s="17">
        <v>207</v>
      </c>
      <c r="F42" s="18">
        <v>0.14374999999999999</v>
      </c>
      <c r="G42" s="7" t="b">
        <v>0</v>
      </c>
      <c r="H42" s="7" t="s">
        <v>179</v>
      </c>
      <c r="I42" s="7" t="s">
        <v>46</v>
      </c>
      <c r="J42" s="7" t="s">
        <v>47</v>
      </c>
      <c r="K42" s="17">
        <v>58500000</v>
      </c>
      <c r="L42" s="17"/>
      <c r="M42" s="8" t="s">
        <v>136</v>
      </c>
      <c r="N42">
        <f t="shared" si="0"/>
        <v>34415168</v>
      </c>
    </row>
    <row r="43" spans="1:14" x14ac:dyDescent="0.3">
      <c r="A43" s="7" t="s">
        <v>180</v>
      </c>
      <c r="B43" s="17">
        <v>17943</v>
      </c>
      <c r="C43" s="17" t="s">
        <v>13</v>
      </c>
      <c r="D43" s="7" t="s">
        <v>181</v>
      </c>
      <c r="E43" s="17">
        <v>239</v>
      </c>
      <c r="F43" s="18">
        <v>0.16597222222222222</v>
      </c>
      <c r="G43" s="7" t="b">
        <v>0</v>
      </c>
      <c r="H43" s="7" t="s">
        <v>182</v>
      </c>
      <c r="I43" s="7" t="s">
        <v>183</v>
      </c>
      <c r="J43" s="7" t="s">
        <v>184</v>
      </c>
      <c r="K43" s="17">
        <v>32000</v>
      </c>
      <c r="L43" s="17"/>
      <c r="M43" s="8" t="s">
        <v>206</v>
      </c>
      <c r="N43">
        <f t="shared" si="0"/>
        <v>17943</v>
      </c>
    </row>
    <row r="44" spans="1:14" x14ac:dyDescent="0.3">
      <c r="A44" s="7" t="s">
        <v>185</v>
      </c>
      <c r="B44" s="17">
        <v>47392334</v>
      </c>
      <c r="C44" s="17" t="s">
        <v>13</v>
      </c>
      <c r="D44" s="7" t="s">
        <v>186</v>
      </c>
      <c r="E44" s="17">
        <v>202</v>
      </c>
      <c r="F44" s="18">
        <v>0.14027777777777778</v>
      </c>
      <c r="G44" s="7" t="b">
        <v>0</v>
      </c>
      <c r="H44" s="7" t="s">
        <v>187</v>
      </c>
      <c r="I44" s="7" t="s">
        <v>188</v>
      </c>
      <c r="J44" s="7" t="s">
        <v>189</v>
      </c>
      <c r="K44" s="17">
        <v>616000</v>
      </c>
      <c r="L44" s="17"/>
      <c r="M44" s="8" t="s">
        <v>308</v>
      </c>
      <c r="N44">
        <f t="shared" si="0"/>
        <v>47392334</v>
      </c>
    </row>
    <row r="45" spans="1:14" x14ac:dyDescent="0.3">
      <c r="A45" s="7" t="s">
        <v>190</v>
      </c>
      <c r="B45" s="17">
        <v>40129974</v>
      </c>
      <c r="C45" s="17" t="s">
        <v>13</v>
      </c>
      <c r="D45" s="7" t="s">
        <v>191</v>
      </c>
      <c r="E45" s="17">
        <v>235</v>
      </c>
      <c r="F45" s="18">
        <v>0.16319444444444445</v>
      </c>
      <c r="G45" s="7" t="b">
        <v>0</v>
      </c>
      <c r="H45" s="7" t="s">
        <v>192</v>
      </c>
      <c r="I45" s="7" t="s">
        <v>193</v>
      </c>
      <c r="J45" s="7" t="s">
        <v>194</v>
      </c>
      <c r="K45" s="17">
        <v>5350000</v>
      </c>
      <c r="L45" s="17"/>
      <c r="M45" s="8" t="s">
        <v>437</v>
      </c>
      <c r="N45">
        <f t="shared" si="0"/>
        <v>40129974</v>
      </c>
    </row>
    <row r="46" spans="1:14" x14ac:dyDescent="0.3">
      <c r="A46" s="7" t="s">
        <v>195</v>
      </c>
      <c r="B46" s="17">
        <v>41075369</v>
      </c>
      <c r="C46" s="17" t="s">
        <v>13</v>
      </c>
      <c r="D46" s="7"/>
      <c r="E46" s="17">
        <v>204</v>
      </c>
      <c r="F46" s="18">
        <v>0.14166666666666666</v>
      </c>
      <c r="G46" s="7" t="b">
        <v>0</v>
      </c>
      <c r="H46" s="7" t="s">
        <v>196</v>
      </c>
      <c r="I46" s="7" t="s">
        <v>197</v>
      </c>
      <c r="J46" s="7" t="s">
        <v>198</v>
      </c>
      <c r="K46" s="17">
        <v>27600000</v>
      </c>
      <c r="L46" s="17"/>
      <c r="M46" s="8" t="s">
        <v>164</v>
      </c>
      <c r="N46">
        <f t="shared" si="0"/>
        <v>41075369</v>
      </c>
    </row>
    <row r="47" spans="1:14" x14ac:dyDescent="0.3">
      <c r="A47" s="7" t="s">
        <v>448</v>
      </c>
      <c r="B47" s="17">
        <v>48615120</v>
      </c>
      <c r="C47" s="17" t="s">
        <v>13</v>
      </c>
      <c r="D47" s="7" t="s">
        <v>453</v>
      </c>
      <c r="E47" s="17">
        <v>209</v>
      </c>
      <c r="F47" s="18">
        <v>0.1451388888888889</v>
      </c>
      <c r="G47" s="7" t="b">
        <v>0</v>
      </c>
      <c r="H47" s="7" t="s">
        <v>201</v>
      </c>
      <c r="I47" s="7" t="s">
        <v>202</v>
      </c>
      <c r="J47" s="7" t="s">
        <v>203</v>
      </c>
      <c r="K47" s="17">
        <v>38700000</v>
      </c>
      <c r="L47" s="17"/>
      <c r="M47" s="8" t="s">
        <v>436</v>
      </c>
      <c r="N47">
        <f t="shared" si="0"/>
        <v>48615120</v>
      </c>
    </row>
    <row r="48" spans="1:14" x14ac:dyDescent="0.3">
      <c r="A48" s="7" t="s">
        <v>204</v>
      </c>
      <c r="B48" s="17">
        <v>188724</v>
      </c>
      <c r="C48" s="17" t="s">
        <v>13</v>
      </c>
      <c r="D48" s="7"/>
      <c r="E48" s="17">
        <v>220</v>
      </c>
      <c r="F48" s="18">
        <v>0.15277777777777779</v>
      </c>
      <c r="G48" s="7" t="b">
        <v>0</v>
      </c>
      <c r="H48" s="7" t="s">
        <v>205</v>
      </c>
      <c r="I48" s="7" t="s">
        <v>206</v>
      </c>
      <c r="J48" s="7" t="s">
        <v>207</v>
      </c>
      <c r="K48" s="17">
        <v>16100</v>
      </c>
      <c r="L48" s="17"/>
      <c r="M48" s="8" t="s">
        <v>249</v>
      </c>
      <c r="N48">
        <f t="shared" si="0"/>
        <v>188724</v>
      </c>
    </row>
    <row r="49" spans="1:14" x14ac:dyDescent="0.3">
      <c r="A49" s="7" t="s">
        <v>208</v>
      </c>
      <c r="B49" s="17">
        <v>108529744</v>
      </c>
      <c r="C49" s="17" t="s">
        <v>13</v>
      </c>
      <c r="D49" s="7" t="s">
        <v>209</v>
      </c>
      <c r="E49" s="17">
        <v>155</v>
      </c>
      <c r="F49" s="18">
        <v>0.1076388888888889</v>
      </c>
      <c r="G49" s="7" t="b">
        <v>0</v>
      </c>
      <c r="H49" s="7" t="s">
        <v>210</v>
      </c>
      <c r="I49" s="7" t="s">
        <v>197</v>
      </c>
      <c r="J49" s="7" t="s">
        <v>198</v>
      </c>
      <c r="K49" s="17">
        <v>27600000</v>
      </c>
      <c r="L49" s="17"/>
      <c r="M49" s="8" t="s">
        <v>372</v>
      </c>
      <c r="N49">
        <f t="shared" si="0"/>
        <v>108529744</v>
      </c>
    </row>
    <row r="50" spans="1:14" x14ac:dyDescent="0.3">
      <c r="A50" s="7" t="s">
        <v>211</v>
      </c>
      <c r="B50" s="17">
        <v>39114736</v>
      </c>
      <c r="C50" s="17" t="s">
        <v>13</v>
      </c>
      <c r="D50" s="7" t="s">
        <v>212</v>
      </c>
      <c r="E50" s="17">
        <v>265</v>
      </c>
      <c r="F50" s="18">
        <v>0.18402777777777779</v>
      </c>
      <c r="G50" s="7" t="b">
        <v>0</v>
      </c>
      <c r="H50" s="7" t="s">
        <v>213</v>
      </c>
      <c r="I50" s="7" t="s">
        <v>214</v>
      </c>
      <c r="J50" s="7" t="s">
        <v>215</v>
      </c>
      <c r="K50" s="17">
        <v>31500000</v>
      </c>
      <c r="L50" s="17"/>
      <c r="M50" s="8" t="s">
        <v>107</v>
      </c>
      <c r="N50">
        <f t="shared" si="0"/>
        <v>39114736</v>
      </c>
    </row>
    <row r="51" spans="1:14" x14ac:dyDescent="0.3">
      <c r="A51" s="7" t="s">
        <v>216</v>
      </c>
      <c r="B51" s="17">
        <v>40322577</v>
      </c>
      <c r="C51" s="17" t="s">
        <v>13</v>
      </c>
      <c r="D51" s="7" t="s">
        <v>217</v>
      </c>
      <c r="E51" s="17">
        <v>245</v>
      </c>
      <c r="F51" s="18">
        <v>0.1701388888888889</v>
      </c>
      <c r="G51" s="7" t="b">
        <v>0</v>
      </c>
      <c r="H51" s="7" t="s">
        <v>218</v>
      </c>
      <c r="I51" s="7" t="s">
        <v>202</v>
      </c>
      <c r="J51" s="7" t="s">
        <v>203</v>
      </c>
      <c r="K51" s="17">
        <v>38700000</v>
      </c>
      <c r="L51" s="17"/>
      <c r="M51" s="8" t="s">
        <v>38</v>
      </c>
      <c r="N51">
        <f t="shared" si="0"/>
        <v>40322577</v>
      </c>
    </row>
    <row r="52" spans="1:14" x14ac:dyDescent="0.3">
      <c r="A52" s="7" t="s">
        <v>219</v>
      </c>
      <c r="B52" s="17">
        <v>34091789</v>
      </c>
      <c r="C52" s="17" t="s">
        <v>13</v>
      </c>
      <c r="D52" s="7" t="s">
        <v>454</v>
      </c>
      <c r="E52" s="17">
        <v>188</v>
      </c>
      <c r="F52" s="18">
        <v>0.13055555555555556</v>
      </c>
      <c r="G52" s="7" t="b">
        <v>0</v>
      </c>
      <c r="H52" s="7" t="s">
        <v>221</v>
      </c>
      <c r="I52" s="7" t="s">
        <v>222</v>
      </c>
      <c r="J52" s="7" t="s">
        <v>223</v>
      </c>
      <c r="K52" s="17">
        <v>6320000</v>
      </c>
      <c r="L52" s="17"/>
      <c r="M52" s="8" t="s">
        <v>417</v>
      </c>
      <c r="N52">
        <f t="shared" si="0"/>
        <v>34091789</v>
      </c>
    </row>
    <row r="53" spans="1:14" x14ac:dyDescent="0.3">
      <c r="A53" s="7" t="s">
        <v>438</v>
      </c>
      <c r="B53" s="17">
        <v>3794711</v>
      </c>
      <c r="C53" s="17" t="s">
        <v>13</v>
      </c>
      <c r="D53" s="7" t="s">
        <v>225</v>
      </c>
      <c r="E53" s="17">
        <v>191</v>
      </c>
      <c r="F53" s="18">
        <v>0.13263888888888889</v>
      </c>
      <c r="G53" s="7" t="b">
        <v>0</v>
      </c>
      <c r="H53" s="7" t="s">
        <v>226</v>
      </c>
      <c r="I53" s="7" t="s">
        <v>434</v>
      </c>
      <c r="J53" s="7" t="s">
        <v>228</v>
      </c>
      <c r="K53" s="17">
        <v>3330000</v>
      </c>
      <c r="L53" s="17"/>
      <c r="M53" s="8" t="s">
        <v>401</v>
      </c>
      <c r="N53">
        <f t="shared" si="0"/>
        <v>3794711</v>
      </c>
    </row>
    <row r="54" spans="1:14" x14ac:dyDescent="0.3">
      <c r="A54" s="7" t="s">
        <v>229</v>
      </c>
      <c r="B54" s="17">
        <v>85513596</v>
      </c>
      <c r="C54" s="17" t="s">
        <v>13</v>
      </c>
      <c r="D54" s="7" t="s">
        <v>230</v>
      </c>
      <c r="E54" s="17">
        <v>184</v>
      </c>
      <c r="F54" s="18">
        <v>0.12777777777777777</v>
      </c>
      <c r="G54" s="7" t="b">
        <v>0</v>
      </c>
      <c r="H54" s="7" t="s">
        <v>231</v>
      </c>
      <c r="I54" s="7" t="s">
        <v>232</v>
      </c>
      <c r="J54" s="7" t="s">
        <v>233</v>
      </c>
      <c r="K54" s="17">
        <v>5360000</v>
      </c>
      <c r="L54" s="17"/>
      <c r="M54" s="8" t="s">
        <v>149</v>
      </c>
      <c r="N54">
        <f t="shared" si="0"/>
        <v>85513596</v>
      </c>
    </row>
    <row r="55" spans="1:14" x14ac:dyDescent="0.3">
      <c r="A55" s="7" t="s">
        <v>234</v>
      </c>
      <c r="B55" s="17">
        <v>36141339</v>
      </c>
      <c r="C55" s="17" t="s">
        <v>13</v>
      </c>
      <c r="D55" s="7" t="s">
        <v>235</v>
      </c>
      <c r="E55" s="17">
        <v>147</v>
      </c>
      <c r="F55" s="18">
        <v>0.10208333333333333</v>
      </c>
      <c r="G55" s="7" t="b">
        <v>0</v>
      </c>
      <c r="H55" s="7" t="s">
        <v>236</v>
      </c>
      <c r="I55" s="7" t="s">
        <v>222</v>
      </c>
      <c r="J55" s="7" t="s">
        <v>237</v>
      </c>
      <c r="K55" s="17">
        <v>6320000</v>
      </c>
      <c r="L55" s="17"/>
      <c r="M55" s="8" t="s">
        <v>71</v>
      </c>
      <c r="N55">
        <f t="shared" si="0"/>
        <v>36141339</v>
      </c>
    </row>
    <row r="56" spans="1:14" x14ac:dyDescent="0.3">
      <c r="A56" s="7" t="s">
        <v>238</v>
      </c>
      <c r="B56" s="17">
        <v>79002814</v>
      </c>
      <c r="C56" s="17" t="s">
        <v>13</v>
      </c>
      <c r="D56" s="7" t="s">
        <v>239</v>
      </c>
      <c r="E56" s="17">
        <v>161</v>
      </c>
      <c r="F56" s="18">
        <v>0.11180555555555556</v>
      </c>
      <c r="G56" s="7" t="b">
        <v>0</v>
      </c>
      <c r="H56" s="7" t="s">
        <v>240</v>
      </c>
      <c r="I56" s="7" t="s">
        <v>241</v>
      </c>
      <c r="J56" s="7" t="s">
        <v>242</v>
      </c>
      <c r="K56" s="17">
        <v>3900000</v>
      </c>
      <c r="L56" s="17"/>
      <c r="M56" s="8" t="s">
        <v>298</v>
      </c>
      <c r="N56">
        <f t="shared" si="0"/>
        <v>79002814</v>
      </c>
    </row>
    <row r="57" spans="1:14" x14ac:dyDescent="0.3">
      <c r="A57" s="7" t="s">
        <v>243</v>
      </c>
      <c r="B57" s="17">
        <v>52725607</v>
      </c>
      <c r="C57" s="17" t="s">
        <v>49</v>
      </c>
      <c r="D57" s="7" t="s">
        <v>244</v>
      </c>
      <c r="E57" s="17">
        <v>188</v>
      </c>
      <c r="F57" s="18">
        <v>0.13055555555555556</v>
      </c>
      <c r="G57" s="7" t="b">
        <v>0</v>
      </c>
      <c r="H57" s="7" t="s">
        <v>245</v>
      </c>
      <c r="I57" s="7" t="s">
        <v>62</v>
      </c>
      <c r="J57" s="7" t="s">
        <v>63</v>
      </c>
      <c r="K57" s="17">
        <v>4050000</v>
      </c>
      <c r="L57" s="17"/>
      <c r="M57" s="8" t="s">
        <v>188</v>
      </c>
      <c r="N57">
        <f t="shared" si="0"/>
        <v>52725607</v>
      </c>
    </row>
    <row r="58" spans="1:14" x14ac:dyDescent="0.3">
      <c r="A58" s="7" t="s">
        <v>246</v>
      </c>
      <c r="B58" s="17">
        <v>125528</v>
      </c>
      <c r="C58" s="17" t="s">
        <v>13</v>
      </c>
      <c r="D58" s="7" t="s">
        <v>247</v>
      </c>
      <c r="E58" s="17">
        <v>182</v>
      </c>
      <c r="F58" s="18">
        <v>0.12638888888888888</v>
      </c>
      <c r="G58" s="7" t="b">
        <v>0</v>
      </c>
      <c r="H58" s="7" t="s">
        <v>248</v>
      </c>
      <c r="I58" s="7" t="s">
        <v>249</v>
      </c>
      <c r="J58" s="7" t="s">
        <v>250</v>
      </c>
      <c r="K58" s="17">
        <v>297000</v>
      </c>
      <c r="L58" s="17"/>
      <c r="M58" s="8" t="s">
        <v>222</v>
      </c>
      <c r="N58">
        <f t="shared" si="0"/>
        <v>125528</v>
      </c>
    </row>
    <row r="59" spans="1:14" x14ac:dyDescent="0.3">
      <c r="A59" s="7" t="s">
        <v>251</v>
      </c>
      <c r="B59" s="17">
        <v>29890943</v>
      </c>
      <c r="C59" s="17" t="s">
        <v>13</v>
      </c>
      <c r="D59" s="7" t="s">
        <v>455</v>
      </c>
      <c r="E59" s="17">
        <v>171</v>
      </c>
      <c r="F59" s="18">
        <v>0.11874999999999999</v>
      </c>
      <c r="G59" s="7" t="b">
        <v>0</v>
      </c>
      <c r="H59" s="7" t="s">
        <v>253</v>
      </c>
      <c r="I59" s="7" t="s">
        <v>254</v>
      </c>
      <c r="J59" s="7" t="s">
        <v>255</v>
      </c>
      <c r="K59" s="17">
        <v>37800000</v>
      </c>
      <c r="L59" s="17"/>
      <c r="M59" s="8" t="s">
        <v>270</v>
      </c>
      <c r="N59">
        <f t="shared" si="0"/>
        <v>29890943</v>
      </c>
    </row>
    <row r="60" spans="1:14" x14ac:dyDescent="0.3">
      <c r="A60" s="7" t="s">
        <v>256</v>
      </c>
      <c r="B60" s="17">
        <v>30313088</v>
      </c>
      <c r="C60" s="17" t="s">
        <v>13</v>
      </c>
      <c r="D60" s="7" t="s">
        <v>257</v>
      </c>
      <c r="E60" s="17">
        <v>194</v>
      </c>
      <c r="F60" s="18">
        <v>0.13472222222222222</v>
      </c>
      <c r="G60" s="7" t="b">
        <v>0</v>
      </c>
      <c r="H60" s="7" t="s">
        <v>258</v>
      </c>
      <c r="I60" s="7" t="s">
        <v>259</v>
      </c>
      <c r="J60" s="7" t="s">
        <v>260</v>
      </c>
      <c r="K60" s="17">
        <v>2680000</v>
      </c>
      <c r="L60" s="17"/>
      <c r="M60" s="8" t="s">
        <v>95</v>
      </c>
      <c r="N60">
        <f t="shared" si="0"/>
        <v>30313088</v>
      </c>
    </row>
    <row r="61" spans="1:14" x14ac:dyDescent="0.3">
      <c r="A61" s="7" t="s">
        <v>261</v>
      </c>
      <c r="B61" s="17">
        <v>30192542</v>
      </c>
      <c r="C61" s="17" t="s">
        <v>13</v>
      </c>
      <c r="D61" s="7" t="s">
        <v>262</v>
      </c>
      <c r="E61" s="17">
        <v>166</v>
      </c>
      <c r="F61" s="18">
        <v>0.11527777777777778</v>
      </c>
      <c r="G61" s="7" t="b">
        <v>0</v>
      </c>
      <c r="H61" s="7" t="s">
        <v>263</v>
      </c>
      <c r="I61" s="7" t="s">
        <v>232</v>
      </c>
      <c r="J61" s="7" t="s">
        <v>233</v>
      </c>
      <c r="K61" s="17">
        <v>5360000</v>
      </c>
      <c r="L61" s="17"/>
      <c r="M61" s="8" t="s">
        <v>202</v>
      </c>
      <c r="N61">
        <f t="shared" si="0"/>
        <v>30192542</v>
      </c>
    </row>
    <row r="62" spans="1:14" x14ac:dyDescent="0.3">
      <c r="A62" s="7" t="s">
        <v>264</v>
      </c>
      <c r="B62" s="17">
        <v>30012095</v>
      </c>
      <c r="C62" s="17" t="s">
        <v>13</v>
      </c>
      <c r="D62" s="7" t="s">
        <v>265</v>
      </c>
      <c r="E62" s="17">
        <v>235</v>
      </c>
      <c r="F62" s="18">
        <v>0.16319444444444445</v>
      </c>
      <c r="G62" s="7" t="b">
        <v>0</v>
      </c>
      <c r="H62" s="7" t="s">
        <v>266</v>
      </c>
      <c r="I62" s="7" t="s">
        <v>222</v>
      </c>
      <c r="J62" s="7" t="s">
        <v>223</v>
      </c>
      <c r="K62" s="17">
        <v>6320000</v>
      </c>
      <c r="L62" s="17"/>
      <c r="M62" s="8" t="s">
        <v>111</v>
      </c>
      <c r="N62">
        <f t="shared" si="0"/>
        <v>30012095</v>
      </c>
    </row>
    <row r="63" spans="1:14" x14ac:dyDescent="0.3">
      <c r="A63" s="7" t="s">
        <v>267</v>
      </c>
      <c r="B63" s="17">
        <v>158325692</v>
      </c>
      <c r="C63" s="17" t="s">
        <v>13</v>
      </c>
      <c r="D63" s="7" t="s">
        <v>268</v>
      </c>
      <c r="E63" s="17">
        <v>249</v>
      </c>
      <c r="F63" s="18">
        <v>0.17291666666666666</v>
      </c>
      <c r="G63" s="7" t="b">
        <v>0</v>
      </c>
      <c r="H63" s="7" t="s">
        <v>269</v>
      </c>
      <c r="I63" s="7" t="s">
        <v>270</v>
      </c>
      <c r="J63" s="7" t="s">
        <v>271</v>
      </c>
      <c r="K63" s="17">
        <v>61500000</v>
      </c>
      <c r="L63" s="17"/>
      <c r="M63" s="8" t="s">
        <v>328</v>
      </c>
      <c r="N63">
        <f t="shared" si="0"/>
        <v>158325692</v>
      </c>
    </row>
    <row r="64" spans="1:14" x14ac:dyDescent="0.3">
      <c r="A64" s="7" t="s">
        <v>272</v>
      </c>
      <c r="B64" s="17">
        <v>899024</v>
      </c>
      <c r="C64" s="17" t="s">
        <v>13</v>
      </c>
      <c r="D64" s="7" t="s">
        <v>273</v>
      </c>
      <c r="E64" s="17">
        <v>158</v>
      </c>
      <c r="F64" s="18">
        <v>0.10972222222222222</v>
      </c>
      <c r="G64" s="7" t="b">
        <v>0</v>
      </c>
      <c r="H64" s="7" t="s">
        <v>274</v>
      </c>
      <c r="I64" s="7" t="s">
        <v>275</v>
      </c>
      <c r="J64" s="7" t="s">
        <v>276</v>
      </c>
      <c r="K64" s="17">
        <v>6100</v>
      </c>
      <c r="L64" s="17"/>
      <c r="M64" s="8" t="s">
        <v>275</v>
      </c>
      <c r="N64">
        <f t="shared" si="0"/>
        <v>899024</v>
      </c>
    </row>
    <row r="65" spans="1:14" x14ac:dyDescent="0.3">
      <c r="A65" s="7" t="s">
        <v>277</v>
      </c>
      <c r="B65" s="17">
        <v>37464367</v>
      </c>
      <c r="C65" s="17" t="s">
        <v>13</v>
      </c>
      <c r="D65" s="7" t="s">
        <v>278</v>
      </c>
      <c r="E65" s="17">
        <v>154</v>
      </c>
      <c r="F65" s="18">
        <v>0.10694444444444444</v>
      </c>
      <c r="G65" s="7" t="b">
        <v>0</v>
      </c>
      <c r="H65" s="7" t="s">
        <v>279</v>
      </c>
      <c r="I65" s="7" t="s">
        <v>280</v>
      </c>
      <c r="J65" s="7" t="s">
        <v>281</v>
      </c>
      <c r="K65" s="17">
        <v>2220000</v>
      </c>
      <c r="L65" s="17"/>
      <c r="M65" s="8" t="s">
        <v>52</v>
      </c>
      <c r="N65">
        <f t="shared" si="0"/>
        <v>37464367</v>
      </c>
    </row>
    <row r="66" spans="1:14" x14ac:dyDescent="0.3">
      <c r="A66" s="7" t="s">
        <v>282</v>
      </c>
      <c r="B66" s="17">
        <v>38500113</v>
      </c>
      <c r="C66" s="17" t="s">
        <v>13</v>
      </c>
      <c r="D66" s="7" t="s">
        <v>283</v>
      </c>
      <c r="E66" s="17">
        <v>253</v>
      </c>
      <c r="F66" s="18">
        <v>0.17569444444444443</v>
      </c>
      <c r="G66" s="7" t="b">
        <v>0</v>
      </c>
      <c r="H66" s="7" t="s">
        <v>284</v>
      </c>
      <c r="I66" s="7" t="s">
        <v>285</v>
      </c>
      <c r="J66" s="7" t="s">
        <v>286</v>
      </c>
      <c r="K66" s="17">
        <v>514000</v>
      </c>
      <c r="L66" s="17"/>
      <c r="M66" s="8" t="s">
        <v>459</v>
      </c>
      <c r="N66">
        <f t="shared" si="0"/>
        <v>38500113</v>
      </c>
    </row>
    <row r="67" spans="1:14" x14ac:dyDescent="0.3">
      <c r="A67" s="7" t="s">
        <v>287</v>
      </c>
      <c r="B67" s="17">
        <v>4637</v>
      </c>
      <c r="C67" s="17" t="s">
        <v>13</v>
      </c>
      <c r="D67" s="7" t="s">
        <v>288</v>
      </c>
      <c r="E67" s="17">
        <v>175</v>
      </c>
      <c r="F67" s="18">
        <v>0.12152777777777778</v>
      </c>
      <c r="G67" s="7" t="b">
        <v>0</v>
      </c>
      <c r="H67" s="7" t="s">
        <v>289</v>
      </c>
      <c r="I67" s="7" t="s">
        <v>290</v>
      </c>
      <c r="J67" s="7" t="s">
        <v>291</v>
      </c>
      <c r="K67" s="17">
        <v>605000</v>
      </c>
      <c r="L67" s="23"/>
    </row>
    <row r="68" spans="1:14" x14ac:dyDescent="0.3">
      <c r="A68" s="7" t="s">
        <v>292</v>
      </c>
      <c r="B68" s="17">
        <v>33919328</v>
      </c>
      <c r="C68" s="17" t="s">
        <v>13</v>
      </c>
      <c r="D68" s="7" t="s">
        <v>293</v>
      </c>
      <c r="E68" s="17">
        <v>211</v>
      </c>
      <c r="F68" s="18">
        <v>0.14652777777777778</v>
      </c>
      <c r="G68" s="7" t="b">
        <v>0</v>
      </c>
      <c r="H68" s="7" t="s">
        <v>294</v>
      </c>
      <c r="I68" s="7" t="s">
        <v>100</v>
      </c>
      <c r="J68" s="7" t="s">
        <v>101</v>
      </c>
      <c r="K68" s="17">
        <v>16100000</v>
      </c>
      <c r="L68" s="23"/>
    </row>
    <row r="69" spans="1:14" x14ac:dyDescent="0.3">
      <c r="A69" s="7" t="s">
        <v>295</v>
      </c>
      <c r="B69" s="17">
        <v>37164</v>
      </c>
      <c r="C69" s="17" t="s">
        <v>13</v>
      </c>
      <c r="D69" s="7" t="s">
        <v>296</v>
      </c>
      <c r="E69" s="17">
        <v>229</v>
      </c>
      <c r="F69" s="18">
        <v>0.15902777777777777</v>
      </c>
      <c r="G69" s="7" t="b">
        <v>0</v>
      </c>
      <c r="H69" s="7" t="s">
        <v>297</v>
      </c>
      <c r="I69" s="7" t="s">
        <v>298</v>
      </c>
      <c r="J69" s="7" t="s">
        <v>299</v>
      </c>
      <c r="K69" s="17">
        <v>43</v>
      </c>
      <c r="L69" s="23"/>
    </row>
    <row r="70" spans="1:14" x14ac:dyDescent="0.3">
      <c r="A70" s="7" t="s">
        <v>300</v>
      </c>
      <c r="B70" s="17">
        <v>29225841</v>
      </c>
      <c r="C70" s="17" t="s">
        <v>13</v>
      </c>
      <c r="D70" s="7" t="s">
        <v>301</v>
      </c>
      <c r="E70" s="17">
        <v>252</v>
      </c>
      <c r="F70" s="18">
        <v>0.17499999999999999</v>
      </c>
      <c r="G70" s="7" t="b">
        <v>0</v>
      </c>
      <c r="H70" s="7" t="s">
        <v>302</v>
      </c>
      <c r="I70" s="7" t="s">
        <v>303</v>
      </c>
      <c r="J70" s="7" t="s">
        <v>304</v>
      </c>
      <c r="K70" s="17">
        <v>19900000</v>
      </c>
      <c r="L70" s="23"/>
    </row>
    <row r="71" spans="1:14" x14ac:dyDescent="0.3">
      <c r="A71" s="7" t="s">
        <v>305</v>
      </c>
      <c r="B71" s="17">
        <v>25353734</v>
      </c>
      <c r="C71" s="17" t="s">
        <v>13</v>
      </c>
      <c r="D71" s="7" t="s">
        <v>306</v>
      </c>
      <c r="E71" s="17">
        <v>219</v>
      </c>
      <c r="F71" s="18">
        <v>0.15208333333333332</v>
      </c>
      <c r="G71" s="7" t="b">
        <v>0</v>
      </c>
      <c r="H71" s="7" t="s">
        <v>307</v>
      </c>
      <c r="I71" s="7" t="s">
        <v>308</v>
      </c>
      <c r="J71" s="7" t="s">
        <v>309</v>
      </c>
      <c r="K71" s="17">
        <v>203000</v>
      </c>
      <c r="L71" s="23"/>
    </row>
    <row r="72" spans="1:14" x14ac:dyDescent="0.3">
      <c r="A72" s="7" t="s">
        <v>310</v>
      </c>
      <c r="B72" s="17">
        <v>55388007</v>
      </c>
      <c r="C72" s="17" t="s">
        <v>13</v>
      </c>
      <c r="D72" s="7" t="s">
        <v>311</v>
      </c>
      <c r="E72" s="17">
        <v>182</v>
      </c>
      <c r="F72" s="18">
        <v>0.12638888888888888</v>
      </c>
      <c r="G72" s="7" t="b">
        <v>0</v>
      </c>
      <c r="H72" s="7" t="s">
        <v>312</v>
      </c>
      <c r="I72" s="7" t="s">
        <v>222</v>
      </c>
      <c r="J72" s="7" t="s">
        <v>223</v>
      </c>
      <c r="K72" s="17">
        <v>6320000</v>
      </c>
      <c r="L72" s="23"/>
    </row>
    <row r="73" spans="1:14" x14ac:dyDescent="0.3">
      <c r="A73" s="7" t="s">
        <v>313</v>
      </c>
      <c r="B73" s="17">
        <v>32203892</v>
      </c>
      <c r="C73" s="17" t="s">
        <v>13</v>
      </c>
      <c r="D73" s="7" t="s">
        <v>314</v>
      </c>
      <c r="E73" s="17">
        <v>207</v>
      </c>
      <c r="F73" s="18">
        <v>0.14374999999999999</v>
      </c>
      <c r="G73" s="7" t="b">
        <v>0</v>
      </c>
      <c r="H73" s="7" t="s">
        <v>315</v>
      </c>
      <c r="I73" s="7" t="s">
        <v>154</v>
      </c>
      <c r="J73" s="7" t="s">
        <v>316</v>
      </c>
      <c r="K73" s="17">
        <v>391000</v>
      </c>
      <c r="L73" s="23"/>
    </row>
    <row r="74" spans="1:14" x14ac:dyDescent="0.3">
      <c r="A74" s="7" t="s">
        <v>317</v>
      </c>
      <c r="B74" s="17">
        <v>667846</v>
      </c>
      <c r="C74" s="17" t="s">
        <v>13</v>
      </c>
      <c r="D74" s="7" t="s">
        <v>318</v>
      </c>
      <c r="E74" s="17">
        <v>120</v>
      </c>
      <c r="F74" s="18">
        <v>8.3333333333333329E-2</v>
      </c>
      <c r="G74" s="7" t="b">
        <v>0</v>
      </c>
      <c r="H74" s="7" t="s">
        <v>319</v>
      </c>
      <c r="I74" s="7" t="s">
        <v>320</v>
      </c>
      <c r="J74" s="7" t="s">
        <v>321</v>
      </c>
      <c r="K74" s="17">
        <v>23900</v>
      </c>
      <c r="L74" s="23"/>
    </row>
    <row r="75" spans="1:14" x14ac:dyDescent="0.3">
      <c r="A75" s="7" t="s">
        <v>322</v>
      </c>
      <c r="B75" s="17">
        <v>46125355</v>
      </c>
      <c r="C75" s="17" t="s">
        <v>13</v>
      </c>
      <c r="D75" s="7" t="s">
        <v>323</v>
      </c>
      <c r="E75" s="17">
        <v>261</v>
      </c>
      <c r="F75" s="18">
        <v>0.18124999999999999</v>
      </c>
      <c r="G75" s="7" t="b">
        <v>0</v>
      </c>
      <c r="H75" s="7" t="s">
        <v>324</v>
      </c>
      <c r="I75" s="7" t="s">
        <v>21</v>
      </c>
      <c r="J75" s="7" t="s">
        <v>22</v>
      </c>
      <c r="K75" s="17">
        <v>29600000</v>
      </c>
      <c r="L75" s="23"/>
    </row>
    <row r="76" spans="1:14" x14ac:dyDescent="0.3">
      <c r="A76" s="7" t="s">
        <v>325</v>
      </c>
      <c r="B76" s="17">
        <v>111453988</v>
      </c>
      <c r="C76" s="17" t="s">
        <v>13</v>
      </c>
      <c r="D76" s="7" t="s">
        <v>326</v>
      </c>
      <c r="E76" s="17">
        <v>158</v>
      </c>
      <c r="F76" s="18">
        <v>0.10972222222222222</v>
      </c>
      <c r="G76" s="7" t="b">
        <v>0</v>
      </c>
      <c r="H76" s="7" t="s">
        <v>327</v>
      </c>
      <c r="I76" s="7" t="s">
        <v>328</v>
      </c>
      <c r="J76" s="7" t="s">
        <v>329</v>
      </c>
      <c r="K76" s="17">
        <v>5070000</v>
      </c>
      <c r="L76" s="23"/>
    </row>
    <row r="77" spans="1:14" x14ac:dyDescent="0.3">
      <c r="A77" s="7" t="s">
        <v>330</v>
      </c>
      <c r="B77" s="17">
        <v>46253970</v>
      </c>
      <c r="C77" s="17" t="s">
        <v>13</v>
      </c>
      <c r="D77" s="7"/>
      <c r="E77" s="17">
        <v>240</v>
      </c>
      <c r="F77" s="18">
        <v>0.16666666666666666</v>
      </c>
      <c r="G77" s="7" t="b">
        <v>0</v>
      </c>
      <c r="H77" s="7" t="s">
        <v>331</v>
      </c>
      <c r="I77" s="7" t="s">
        <v>332</v>
      </c>
      <c r="J77" s="7" t="s">
        <v>333</v>
      </c>
      <c r="K77" s="17">
        <v>28100000</v>
      </c>
      <c r="L77" s="23"/>
    </row>
    <row r="78" spans="1:14" x14ac:dyDescent="0.3">
      <c r="A78" s="7" t="s">
        <v>334</v>
      </c>
      <c r="B78" s="17">
        <v>208325690</v>
      </c>
      <c r="C78" s="17" t="s">
        <v>13</v>
      </c>
      <c r="D78" s="7" t="s">
        <v>335</v>
      </c>
      <c r="E78" s="17">
        <v>147</v>
      </c>
      <c r="F78" s="18">
        <v>0.10208333333333333</v>
      </c>
      <c r="G78" s="7" t="b">
        <v>0</v>
      </c>
      <c r="H78" s="7" t="s">
        <v>336</v>
      </c>
      <c r="I78" s="7" t="s">
        <v>100</v>
      </c>
      <c r="J78" s="7" t="s">
        <v>101</v>
      </c>
      <c r="K78" s="17">
        <v>16100000</v>
      </c>
      <c r="L78" s="23"/>
    </row>
    <row r="79" spans="1:14" x14ac:dyDescent="0.3">
      <c r="A79" s="7" t="s">
        <v>337</v>
      </c>
      <c r="B79" s="17">
        <v>23070337</v>
      </c>
      <c r="C79" s="17" t="s">
        <v>13</v>
      </c>
      <c r="D79" s="7" t="s">
        <v>217</v>
      </c>
      <c r="E79" s="17">
        <v>320</v>
      </c>
      <c r="F79" s="18">
        <v>0.22222222222222221</v>
      </c>
      <c r="G79" s="7" t="b">
        <v>0</v>
      </c>
      <c r="H79" s="7" t="s">
        <v>338</v>
      </c>
      <c r="I79" s="7" t="s">
        <v>202</v>
      </c>
      <c r="J79" s="7" t="s">
        <v>203</v>
      </c>
      <c r="K79" s="17">
        <v>38700000</v>
      </c>
      <c r="L79" s="23"/>
    </row>
    <row r="80" spans="1:14" x14ac:dyDescent="0.3">
      <c r="A80" s="7" t="s">
        <v>440</v>
      </c>
      <c r="B80" s="17">
        <v>6174</v>
      </c>
      <c r="C80" s="17" t="s">
        <v>13</v>
      </c>
      <c r="D80" s="7" t="s">
        <v>340</v>
      </c>
      <c r="E80" s="17">
        <v>169</v>
      </c>
      <c r="F80" s="18">
        <v>0.11736111111111111</v>
      </c>
      <c r="G80" s="7" t="b">
        <v>0</v>
      </c>
      <c r="H80" s="7" t="s">
        <v>341</v>
      </c>
      <c r="I80" s="7" t="s">
        <v>435</v>
      </c>
      <c r="J80" s="7" t="s">
        <v>343</v>
      </c>
      <c r="K80" s="17">
        <v>1200</v>
      </c>
      <c r="L80" s="23"/>
    </row>
    <row r="81" spans="1:12" x14ac:dyDescent="0.3">
      <c r="A81" s="7" t="s">
        <v>344</v>
      </c>
      <c r="B81" s="17">
        <v>30301956</v>
      </c>
      <c r="C81" s="17" t="s">
        <v>13</v>
      </c>
      <c r="D81" s="7" t="s">
        <v>345</v>
      </c>
      <c r="E81" s="17">
        <v>167</v>
      </c>
      <c r="F81" s="18">
        <v>0.11597222222222223</v>
      </c>
      <c r="G81" s="7" t="b">
        <v>0</v>
      </c>
      <c r="H81" s="7" t="s">
        <v>346</v>
      </c>
      <c r="I81" s="7" t="s">
        <v>347</v>
      </c>
      <c r="J81" s="7" t="s">
        <v>348</v>
      </c>
      <c r="K81" s="17">
        <v>32900000</v>
      </c>
      <c r="L81" s="23"/>
    </row>
    <row r="82" spans="1:12" x14ac:dyDescent="0.3">
      <c r="A82" s="7" t="s">
        <v>349</v>
      </c>
      <c r="B82" s="17">
        <v>24709753</v>
      </c>
      <c r="C82" s="17" t="s">
        <v>13</v>
      </c>
      <c r="D82" s="7" t="s">
        <v>350</v>
      </c>
      <c r="E82" s="17">
        <v>176</v>
      </c>
      <c r="F82" s="18">
        <v>0.12222222222222222</v>
      </c>
      <c r="G82" s="7" t="b">
        <v>0</v>
      </c>
      <c r="H82" s="7" t="s">
        <v>351</v>
      </c>
      <c r="I82" s="7" t="s">
        <v>352</v>
      </c>
      <c r="J82" s="7" t="s">
        <v>353</v>
      </c>
      <c r="K82" s="17">
        <v>76200000</v>
      </c>
      <c r="L82" s="23"/>
    </row>
    <row r="83" spans="1:12" x14ac:dyDescent="0.3">
      <c r="A83" s="7" t="s">
        <v>354</v>
      </c>
      <c r="B83" s="17">
        <v>44470482</v>
      </c>
      <c r="C83" s="17" t="s">
        <v>13</v>
      </c>
      <c r="D83" s="7" t="s">
        <v>36</v>
      </c>
      <c r="E83" s="17">
        <v>172</v>
      </c>
      <c r="F83" s="18">
        <v>0.11944444444444445</v>
      </c>
      <c r="G83" s="7" t="b">
        <v>0</v>
      </c>
      <c r="H83" s="7" t="s">
        <v>355</v>
      </c>
      <c r="I83" s="7" t="s">
        <v>38</v>
      </c>
      <c r="J83" s="7" t="s">
        <v>39</v>
      </c>
      <c r="K83" s="17">
        <v>12300000</v>
      </c>
      <c r="L83" s="23"/>
    </row>
    <row r="84" spans="1:12" x14ac:dyDescent="0.3">
      <c r="A84" s="7" t="s">
        <v>356</v>
      </c>
      <c r="B84" s="17">
        <v>80373280</v>
      </c>
      <c r="C84" s="17" t="s">
        <v>13</v>
      </c>
      <c r="D84" s="7" t="s">
        <v>357</v>
      </c>
      <c r="E84" s="17">
        <v>187</v>
      </c>
      <c r="F84" s="18">
        <v>0.12986111111111112</v>
      </c>
      <c r="G84" s="7" t="b">
        <v>0</v>
      </c>
      <c r="H84" s="7" t="s">
        <v>358</v>
      </c>
      <c r="I84" s="7" t="s">
        <v>359</v>
      </c>
      <c r="J84" s="7" t="s">
        <v>360</v>
      </c>
      <c r="K84" s="17">
        <v>24400000</v>
      </c>
      <c r="L84" s="23"/>
    </row>
    <row r="85" spans="1:12" x14ac:dyDescent="0.3">
      <c r="A85" s="7" t="s">
        <v>361</v>
      </c>
      <c r="B85" s="17">
        <v>20923612</v>
      </c>
      <c r="C85" s="17" t="s">
        <v>13</v>
      </c>
      <c r="D85" s="7" t="s">
        <v>362</v>
      </c>
      <c r="E85" s="17">
        <v>187</v>
      </c>
      <c r="F85" s="18">
        <v>0.12986111111111112</v>
      </c>
      <c r="G85" s="7" t="b">
        <v>0</v>
      </c>
      <c r="H85" s="7" t="s">
        <v>363</v>
      </c>
      <c r="I85" s="7" t="s">
        <v>38</v>
      </c>
      <c r="J85" s="7" t="s">
        <v>39</v>
      </c>
      <c r="K85" s="17">
        <v>12300000</v>
      </c>
      <c r="L85" s="23"/>
    </row>
    <row r="86" spans="1:12" x14ac:dyDescent="0.3">
      <c r="A86" s="7" t="s">
        <v>364</v>
      </c>
      <c r="B86" s="17">
        <v>35211939</v>
      </c>
      <c r="C86" s="17" t="s">
        <v>13</v>
      </c>
      <c r="D86" s="7" t="s">
        <v>365</v>
      </c>
      <c r="E86" s="17">
        <v>180</v>
      </c>
      <c r="F86" s="18">
        <v>0.125</v>
      </c>
      <c r="G86" s="7" t="b">
        <v>0</v>
      </c>
      <c r="H86" s="7" t="s">
        <v>366</v>
      </c>
      <c r="I86" s="7" t="s">
        <v>367</v>
      </c>
      <c r="J86" s="7" t="s">
        <v>368</v>
      </c>
      <c r="K86" s="17">
        <v>4350000</v>
      </c>
      <c r="L86" s="23"/>
    </row>
    <row r="87" spans="1:12" x14ac:dyDescent="0.3">
      <c r="A87" s="7" t="s">
        <v>369</v>
      </c>
      <c r="B87" s="17">
        <v>1161</v>
      </c>
      <c r="C87" s="17" t="s">
        <v>13</v>
      </c>
      <c r="D87" s="7" t="s">
        <v>370</v>
      </c>
      <c r="E87" s="17">
        <v>184</v>
      </c>
      <c r="F87" s="18">
        <v>0.12777777777777777</v>
      </c>
      <c r="G87" s="7" t="b">
        <v>0</v>
      </c>
      <c r="H87" s="7" t="s">
        <v>371</v>
      </c>
      <c r="I87" s="7" t="s">
        <v>372</v>
      </c>
      <c r="J87" s="7" t="s">
        <v>373</v>
      </c>
      <c r="K87" s="17">
        <v>1</v>
      </c>
      <c r="L87" s="23"/>
    </row>
    <row r="88" spans="1:12" x14ac:dyDescent="0.3">
      <c r="A88" s="7" t="s">
        <v>374</v>
      </c>
      <c r="B88" s="17">
        <v>34725855</v>
      </c>
      <c r="C88" s="17" t="s">
        <v>13</v>
      </c>
      <c r="D88" s="7" t="s">
        <v>36</v>
      </c>
      <c r="E88" s="17">
        <v>223</v>
      </c>
      <c r="F88" s="18">
        <v>0.15486111111111112</v>
      </c>
      <c r="G88" s="7" t="b">
        <v>0</v>
      </c>
      <c r="H88" s="7" t="s">
        <v>375</v>
      </c>
      <c r="I88" s="7" t="s">
        <v>38</v>
      </c>
      <c r="J88" s="7" t="s">
        <v>39</v>
      </c>
      <c r="K88" s="17">
        <v>12300000</v>
      </c>
      <c r="L88" s="23"/>
    </row>
    <row r="89" spans="1:12" x14ac:dyDescent="0.3">
      <c r="A89" s="7" t="s">
        <v>376</v>
      </c>
      <c r="B89" s="17">
        <v>18154200</v>
      </c>
      <c r="C89" s="17" t="s">
        <v>13</v>
      </c>
      <c r="D89" s="7"/>
      <c r="E89" s="17">
        <v>157</v>
      </c>
      <c r="F89" s="18">
        <v>0.10902777777777778</v>
      </c>
      <c r="G89" s="7" t="b">
        <v>0</v>
      </c>
      <c r="H89" s="7" t="s">
        <v>377</v>
      </c>
      <c r="I89" s="7" t="s">
        <v>197</v>
      </c>
      <c r="J89" s="7" t="s">
        <v>198</v>
      </c>
      <c r="K89" s="17">
        <v>27600000</v>
      </c>
      <c r="L89" s="23"/>
    </row>
    <row r="90" spans="1:12" x14ac:dyDescent="0.3">
      <c r="A90" s="7" t="s">
        <v>378</v>
      </c>
      <c r="B90" s="17">
        <v>26261465</v>
      </c>
      <c r="C90" s="17" t="s">
        <v>13</v>
      </c>
      <c r="D90" s="7" t="s">
        <v>379</v>
      </c>
      <c r="E90" s="17">
        <v>204</v>
      </c>
      <c r="F90" s="18">
        <v>0.14166666666666666</v>
      </c>
      <c r="G90" s="7" t="b">
        <v>0</v>
      </c>
      <c r="H90" s="7" t="s">
        <v>380</v>
      </c>
      <c r="I90" s="7" t="s">
        <v>381</v>
      </c>
      <c r="J90" s="7" t="s">
        <v>382</v>
      </c>
      <c r="K90" s="17">
        <v>1900000</v>
      </c>
      <c r="L90" s="23"/>
    </row>
    <row r="91" spans="1:12" x14ac:dyDescent="0.3">
      <c r="A91" s="7" t="s">
        <v>383</v>
      </c>
      <c r="B91" s="17">
        <v>7826393</v>
      </c>
      <c r="C91" s="17" t="s">
        <v>13</v>
      </c>
      <c r="D91" s="7" t="s">
        <v>384</v>
      </c>
      <c r="E91" s="17">
        <v>195</v>
      </c>
      <c r="F91" s="18">
        <v>0.13541666666666666</v>
      </c>
      <c r="G91" s="7" t="b">
        <v>0</v>
      </c>
      <c r="H91" s="7" t="s">
        <v>385</v>
      </c>
      <c r="I91" s="7" t="s">
        <v>328</v>
      </c>
      <c r="J91" s="7" t="s">
        <v>329</v>
      </c>
      <c r="K91" s="17">
        <v>5070000</v>
      </c>
      <c r="L91" s="23"/>
    </row>
    <row r="92" spans="1:12" x14ac:dyDescent="0.3">
      <c r="A92" s="7" t="s">
        <v>386</v>
      </c>
      <c r="B92" s="17">
        <v>19166284</v>
      </c>
      <c r="C92" s="17" t="s">
        <v>13</v>
      </c>
      <c r="D92" s="7" t="s">
        <v>387</v>
      </c>
      <c r="E92" s="17">
        <v>161</v>
      </c>
      <c r="F92" s="18">
        <v>0.11180555555555556</v>
      </c>
      <c r="G92" s="7" t="b">
        <v>0</v>
      </c>
      <c r="H92" s="7" t="s">
        <v>388</v>
      </c>
      <c r="I92" s="7" t="s">
        <v>389</v>
      </c>
      <c r="J92" s="7" t="s">
        <v>390</v>
      </c>
      <c r="K92" s="17">
        <v>56400000</v>
      </c>
      <c r="L92" s="23"/>
    </row>
    <row r="93" spans="1:12" x14ac:dyDescent="0.3">
      <c r="A93" s="7" t="s">
        <v>391</v>
      </c>
      <c r="B93" s="17">
        <v>8687</v>
      </c>
      <c r="C93" s="17" t="s">
        <v>13</v>
      </c>
      <c r="D93" s="7"/>
      <c r="E93" s="17">
        <v>194</v>
      </c>
      <c r="F93" s="18">
        <v>0.13472222222222222</v>
      </c>
      <c r="G93" s="7" t="b">
        <v>0</v>
      </c>
      <c r="H93" s="7" t="s">
        <v>392</v>
      </c>
      <c r="I93" s="7" t="s">
        <v>393</v>
      </c>
      <c r="J93" s="7" t="s">
        <v>394</v>
      </c>
      <c r="K93" s="17">
        <v>2120</v>
      </c>
      <c r="L93" s="23"/>
    </row>
    <row r="94" spans="1:12" x14ac:dyDescent="0.3">
      <c r="A94" s="7" t="s">
        <v>395</v>
      </c>
      <c r="B94" s="17">
        <v>46131082</v>
      </c>
      <c r="C94" s="17" t="s">
        <v>13</v>
      </c>
      <c r="D94" s="7" t="s">
        <v>396</v>
      </c>
      <c r="E94" s="17">
        <v>259</v>
      </c>
      <c r="F94" s="18">
        <v>0.17986111111111111</v>
      </c>
      <c r="G94" s="7" t="b">
        <v>0</v>
      </c>
      <c r="H94" s="7" t="s">
        <v>397</v>
      </c>
      <c r="I94" s="7" t="s">
        <v>270</v>
      </c>
      <c r="J94" s="7" t="s">
        <v>271</v>
      </c>
      <c r="K94" s="17">
        <v>61500000</v>
      </c>
      <c r="L94" s="23"/>
    </row>
    <row r="95" spans="1:12" x14ac:dyDescent="0.3">
      <c r="A95" s="7" t="s">
        <v>398</v>
      </c>
      <c r="B95" s="17">
        <v>18620923</v>
      </c>
      <c r="C95" s="17" t="s">
        <v>13</v>
      </c>
      <c r="D95" s="7" t="s">
        <v>399</v>
      </c>
      <c r="E95" s="17">
        <v>175</v>
      </c>
      <c r="F95" s="18">
        <v>0.12152777777777778</v>
      </c>
      <c r="G95" s="7" t="b">
        <v>0</v>
      </c>
      <c r="H95" s="7" t="s">
        <v>400</v>
      </c>
      <c r="I95" s="7" t="s">
        <v>401</v>
      </c>
      <c r="J95" s="7" t="s">
        <v>402</v>
      </c>
      <c r="K95" s="17">
        <v>35500000</v>
      </c>
      <c r="L95" s="23"/>
    </row>
    <row r="96" spans="1:12" x14ac:dyDescent="0.3">
      <c r="A96" s="7" t="s">
        <v>403</v>
      </c>
      <c r="B96" s="17">
        <v>21968615</v>
      </c>
      <c r="C96" s="17" t="s">
        <v>13</v>
      </c>
      <c r="D96" s="7" t="s">
        <v>404</v>
      </c>
      <c r="E96" s="17">
        <v>183</v>
      </c>
      <c r="F96" s="18">
        <v>0.12708333333333333</v>
      </c>
      <c r="G96" s="7" t="b">
        <v>0</v>
      </c>
      <c r="H96" s="7" t="s">
        <v>405</v>
      </c>
      <c r="I96" s="7" t="s">
        <v>352</v>
      </c>
      <c r="J96" s="7" t="s">
        <v>406</v>
      </c>
      <c r="K96" s="17">
        <v>76200000</v>
      </c>
      <c r="L96" s="23"/>
    </row>
    <row r="97" spans="1:12" x14ac:dyDescent="0.3">
      <c r="A97" s="7" t="s">
        <v>407</v>
      </c>
      <c r="B97" s="17">
        <v>18245315</v>
      </c>
      <c r="C97" s="17" t="s">
        <v>13</v>
      </c>
      <c r="D97" s="7" t="s">
        <v>387</v>
      </c>
      <c r="E97" s="17">
        <v>202</v>
      </c>
      <c r="F97" s="18">
        <v>0.14027777777777778</v>
      </c>
      <c r="G97" s="7" t="b">
        <v>0</v>
      </c>
      <c r="H97" s="7" t="s">
        <v>408</v>
      </c>
      <c r="I97" s="7" t="s">
        <v>389</v>
      </c>
      <c r="J97" s="7" t="s">
        <v>390</v>
      </c>
      <c r="K97" s="17">
        <v>56400000</v>
      </c>
      <c r="L97" s="23"/>
    </row>
    <row r="98" spans="1:12" x14ac:dyDescent="0.3">
      <c r="A98" s="7" t="s">
        <v>441</v>
      </c>
      <c r="B98" s="17">
        <v>31456772</v>
      </c>
      <c r="C98" s="17" t="s">
        <v>13</v>
      </c>
      <c r="D98" s="7" t="s">
        <v>410</v>
      </c>
      <c r="E98" s="17">
        <v>234</v>
      </c>
      <c r="F98" s="18">
        <v>0.16250000000000001</v>
      </c>
      <c r="G98" s="7" t="b">
        <v>0</v>
      </c>
      <c r="H98" s="7" t="s">
        <v>411</v>
      </c>
      <c r="I98" s="7" t="s">
        <v>141</v>
      </c>
      <c r="J98" s="7" t="s">
        <v>142</v>
      </c>
      <c r="K98" s="17">
        <v>1770000</v>
      </c>
      <c r="L98" s="23"/>
    </row>
    <row r="99" spans="1:12" x14ac:dyDescent="0.3">
      <c r="A99" s="7" t="s">
        <v>412</v>
      </c>
      <c r="B99" s="17">
        <v>66051</v>
      </c>
      <c r="C99" s="17" t="s">
        <v>13</v>
      </c>
      <c r="D99" s="7"/>
      <c r="E99" s="17">
        <v>197</v>
      </c>
      <c r="F99" s="18">
        <v>0.13680555555555557</v>
      </c>
      <c r="G99" s="7" t="b">
        <v>0</v>
      </c>
      <c r="H99" s="7" t="s">
        <v>413</v>
      </c>
      <c r="I99" s="7" t="s">
        <v>414</v>
      </c>
      <c r="J99" s="7" t="s">
        <v>415</v>
      </c>
      <c r="K99" s="17">
        <v>20300</v>
      </c>
      <c r="L99" s="23"/>
    </row>
    <row r="100" spans="1:12" x14ac:dyDescent="0.3">
      <c r="A100" s="7" t="s">
        <v>416</v>
      </c>
      <c r="B100" s="17">
        <v>16952860</v>
      </c>
      <c r="C100" s="17" t="s">
        <v>13</v>
      </c>
      <c r="D100" s="7" t="s">
        <v>417</v>
      </c>
      <c r="E100" s="17">
        <v>155</v>
      </c>
      <c r="F100" s="18">
        <v>0.1076388888888889</v>
      </c>
      <c r="G100" s="7" t="b">
        <v>0</v>
      </c>
      <c r="H100" s="7" t="s">
        <v>418</v>
      </c>
      <c r="I100" s="7" t="s">
        <v>417</v>
      </c>
      <c r="J100" s="7" t="s">
        <v>419</v>
      </c>
      <c r="K100" s="17">
        <v>5200000</v>
      </c>
      <c r="L100" s="23"/>
    </row>
    <row r="101" spans="1:12" x14ac:dyDescent="0.3">
      <c r="A101" s="7" t="s">
        <v>420</v>
      </c>
      <c r="B101" s="17">
        <v>16971256</v>
      </c>
      <c r="C101" s="17" t="s">
        <v>13</v>
      </c>
      <c r="D101" s="7" t="s">
        <v>421</v>
      </c>
      <c r="E101" s="17">
        <v>161</v>
      </c>
      <c r="F101" s="18">
        <v>0.11180555555555556</v>
      </c>
      <c r="G101" s="7" t="b">
        <v>0</v>
      </c>
      <c r="H101" s="7" t="s">
        <v>422</v>
      </c>
      <c r="I101" s="7" t="s">
        <v>401</v>
      </c>
      <c r="J101" s="7" t="s">
        <v>402</v>
      </c>
      <c r="K101" s="17">
        <v>35500000</v>
      </c>
      <c r="L101" s="23"/>
    </row>
  </sheetData>
  <hyperlinks>
    <hyperlink ref="J3" r:id="rId1" xr:uid="{0CFF089D-8E6D-4791-8C34-B1D8B2E96132}"/>
    <hyperlink ref="J4" r:id="rId2" xr:uid="{5D6846AB-8749-4049-9BD2-1B621527D29F}"/>
    <hyperlink ref="J5" r:id="rId3" xr:uid="{ADA3498B-72BA-40E8-9B40-BAA388F2C045}"/>
    <hyperlink ref="J2" r:id="rId4" xr:uid="{00F8D8F8-89C4-4D6F-ADD3-8FEA7BE7874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88C9-DB31-44C5-A4AF-6EFE9A84264E}">
  <dimension ref="A1:F68"/>
  <sheetViews>
    <sheetView zoomScale="84" workbookViewId="0">
      <selection activeCell="F20" sqref="F20"/>
    </sheetView>
  </sheetViews>
  <sheetFormatPr defaultRowHeight="14.4" x14ac:dyDescent="0.3"/>
  <cols>
    <col min="1" max="1" width="24.33203125" bestFit="1" customWidth="1"/>
    <col min="2" max="2" width="27.6640625" customWidth="1"/>
    <col min="5" max="5" width="23.77734375" customWidth="1"/>
    <col min="6" max="6" width="30.44140625" customWidth="1"/>
  </cols>
  <sheetData>
    <row r="1" spans="1:6" ht="25.8" x14ac:dyDescent="0.5">
      <c r="A1" s="15" t="s">
        <v>460</v>
      </c>
      <c r="E1" s="15" t="s">
        <v>461</v>
      </c>
    </row>
    <row r="2" spans="1:6" ht="19.8" x14ac:dyDescent="0.4">
      <c r="A2" s="10" t="s">
        <v>431</v>
      </c>
      <c r="B2" s="11" t="s">
        <v>456</v>
      </c>
    </row>
    <row r="3" spans="1:6" ht="19.8" x14ac:dyDescent="0.4">
      <c r="A3" s="8" t="s">
        <v>367</v>
      </c>
      <c r="B3" s="12">
        <v>35211939</v>
      </c>
      <c r="E3" s="13" t="s">
        <v>425</v>
      </c>
      <c r="F3" s="14" t="s">
        <v>458</v>
      </c>
    </row>
    <row r="4" spans="1:6" x14ac:dyDescent="0.3">
      <c r="A4" s="8" t="s">
        <v>62</v>
      </c>
      <c r="B4" s="12">
        <v>200597050</v>
      </c>
      <c r="E4" s="8" t="s">
        <v>13</v>
      </c>
      <c r="F4" s="9">
        <v>205.29787234042553</v>
      </c>
    </row>
    <row r="5" spans="1:6" x14ac:dyDescent="0.3">
      <c r="A5" s="8" t="s">
        <v>389</v>
      </c>
      <c r="B5" s="12">
        <v>37411599</v>
      </c>
      <c r="E5" s="8" t="s">
        <v>49</v>
      </c>
      <c r="F5" s="9">
        <v>182</v>
      </c>
    </row>
    <row r="6" spans="1:6" x14ac:dyDescent="0.3">
      <c r="A6" s="8" t="s">
        <v>232</v>
      </c>
      <c r="B6" s="12">
        <v>115706138</v>
      </c>
      <c r="E6" s="8" t="s">
        <v>457</v>
      </c>
      <c r="F6" s="9">
        <v>203.9</v>
      </c>
    </row>
    <row r="7" spans="1:6" x14ac:dyDescent="0.3">
      <c r="A7" s="8" t="s">
        <v>31</v>
      </c>
      <c r="B7" s="12">
        <v>747239602</v>
      </c>
    </row>
    <row r="8" spans="1:6" x14ac:dyDescent="0.3">
      <c r="A8" s="8" t="s">
        <v>172</v>
      </c>
      <c r="B8" s="12">
        <v>118077070</v>
      </c>
    </row>
    <row r="9" spans="1:6" x14ac:dyDescent="0.3">
      <c r="A9" s="8" t="s">
        <v>241</v>
      </c>
      <c r="B9" s="12">
        <v>79002814</v>
      </c>
    </row>
    <row r="10" spans="1:6" x14ac:dyDescent="0.3">
      <c r="A10" s="8" t="s">
        <v>145</v>
      </c>
      <c r="B10" s="12">
        <v>6605</v>
      </c>
    </row>
    <row r="11" spans="1:6" x14ac:dyDescent="0.3">
      <c r="A11" s="8" t="s">
        <v>320</v>
      </c>
      <c r="B11" s="12">
        <v>667846</v>
      </c>
    </row>
    <row r="12" spans="1:6" x14ac:dyDescent="0.3">
      <c r="A12" s="8" t="s">
        <v>332</v>
      </c>
      <c r="B12" s="12">
        <v>46253970</v>
      </c>
    </row>
    <row r="13" spans="1:6" x14ac:dyDescent="0.3">
      <c r="A13" s="8" t="s">
        <v>85</v>
      </c>
      <c r="B13" s="12">
        <v>12089</v>
      </c>
    </row>
    <row r="14" spans="1:6" x14ac:dyDescent="0.3">
      <c r="A14" s="8" t="s">
        <v>280</v>
      </c>
      <c r="B14" s="12">
        <v>37464367</v>
      </c>
    </row>
    <row r="15" spans="1:6" x14ac:dyDescent="0.3">
      <c r="A15" s="8" t="s">
        <v>285</v>
      </c>
      <c r="B15" s="12">
        <v>38500113</v>
      </c>
    </row>
    <row r="16" spans="1:6" x14ac:dyDescent="0.3">
      <c r="A16" s="8" t="s">
        <v>197</v>
      </c>
      <c r="B16" s="12">
        <v>167759313</v>
      </c>
    </row>
    <row r="17" spans="1:2" x14ac:dyDescent="0.3">
      <c r="A17" s="8" t="s">
        <v>259</v>
      </c>
      <c r="B17" s="12">
        <v>30313088</v>
      </c>
    </row>
    <row r="18" spans="1:2" x14ac:dyDescent="0.3">
      <c r="A18" s="8" t="s">
        <v>290</v>
      </c>
      <c r="B18" s="12">
        <v>4637</v>
      </c>
    </row>
    <row r="19" spans="1:2" x14ac:dyDescent="0.3">
      <c r="A19" s="8" t="s">
        <v>119</v>
      </c>
      <c r="B19" s="12">
        <v>51336708</v>
      </c>
    </row>
    <row r="20" spans="1:2" x14ac:dyDescent="0.3">
      <c r="A20" s="8" t="s">
        <v>214</v>
      </c>
      <c r="B20" s="12">
        <v>39114736</v>
      </c>
    </row>
    <row r="21" spans="1:2" x14ac:dyDescent="0.3">
      <c r="A21" s="8" t="s">
        <v>359</v>
      </c>
      <c r="B21" s="12">
        <v>80373280</v>
      </c>
    </row>
    <row r="22" spans="1:2" x14ac:dyDescent="0.3">
      <c r="A22" s="8" t="s">
        <v>46</v>
      </c>
      <c r="B22" s="12">
        <v>219111485</v>
      </c>
    </row>
    <row r="23" spans="1:2" x14ac:dyDescent="0.3">
      <c r="A23" s="8" t="s">
        <v>434</v>
      </c>
      <c r="B23" s="12">
        <v>3794711</v>
      </c>
    </row>
    <row r="24" spans="1:2" x14ac:dyDescent="0.3">
      <c r="A24" s="8" t="s">
        <v>141</v>
      </c>
      <c r="B24" s="12">
        <v>59463985</v>
      </c>
    </row>
    <row r="25" spans="1:2" x14ac:dyDescent="0.3">
      <c r="A25" s="8" t="s">
        <v>414</v>
      </c>
      <c r="B25" s="12">
        <v>66051</v>
      </c>
    </row>
    <row r="26" spans="1:2" x14ac:dyDescent="0.3">
      <c r="A26" s="8" t="s">
        <v>347</v>
      </c>
      <c r="B26" s="12">
        <v>30301956</v>
      </c>
    </row>
    <row r="27" spans="1:2" x14ac:dyDescent="0.3">
      <c r="A27" s="8" t="s">
        <v>435</v>
      </c>
      <c r="B27" s="12">
        <v>6174</v>
      </c>
    </row>
    <row r="28" spans="1:2" x14ac:dyDescent="0.3">
      <c r="A28" s="8" t="s">
        <v>193</v>
      </c>
      <c r="B28" s="12">
        <v>40129974</v>
      </c>
    </row>
    <row r="29" spans="1:2" x14ac:dyDescent="0.3">
      <c r="A29" s="8" t="s">
        <v>100</v>
      </c>
      <c r="B29" s="12">
        <v>335218998</v>
      </c>
    </row>
    <row r="30" spans="1:2" x14ac:dyDescent="0.3">
      <c r="A30" s="8" t="s">
        <v>352</v>
      </c>
      <c r="B30" s="12">
        <v>46678368</v>
      </c>
    </row>
    <row r="31" spans="1:2" x14ac:dyDescent="0.3">
      <c r="A31" s="8" t="s">
        <v>123</v>
      </c>
      <c r="B31" s="12">
        <v>87005996</v>
      </c>
    </row>
    <row r="32" spans="1:2" x14ac:dyDescent="0.3">
      <c r="A32" s="8" t="s">
        <v>66</v>
      </c>
      <c r="B32" s="12">
        <v>610278219</v>
      </c>
    </row>
    <row r="33" spans="1:2" x14ac:dyDescent="0.3">
      <c r="A33" s="8" t="s">
        <v>381</v>
      </c>
      <c r="B33" s="12">
        <v>26261465</v>
      </c>
    </row>
    <row r="34" spans="1:2" x14ac:dyDescent="0.3">
      <c r="A34" s="8" t="s">
        <v>21</v>
      </c>
      <c r="B34" s="12">
        <v>1562032073</v>
      </c>
    </row>
    <row r="35" spans="1:2" x14ac:dyDescent="0.3">
      <c r="A35" s="8" t="s">
        <v>80</v>
      </c>
      <c r="B35" s="12">
        <v>289611150</v>
      </c>
    </row>
    <row r="36" spans="1:2" x14ac:dyDescent="0.3">
      <c r="A36" s="8" t="s">
        <v>90</v>
      </c>
      <c r="B36" s="12">
        <v>110991682</v>
      </c>
    </row>
    <row r="37" spans="1:2" x14ac:dyDescent="0.3">
      <c r="A37" s="8" t="s">
        <v>254</v>
      </c>
      <c r="B37" s="12">
        <v>29890943</v>
      </c>
    </row>
    <row r="38" spans="1:2" x14ac:dyDescent="0.3">
      <c r="A38" s="8" t="s">
        <v>393</v>
      </c>
      <c r="B38" s="12">
        <v>8687</v>
      </c>
    </row>
    <row r="39" spans="1:2" x14ac:dyDescent="0.3">
      <c r="A39" s="8" t="s">
        <v>303</v>
      </c>
      <c r="B39" s="12">
        <v>29225841</v>
      </c>
    </row>
    <row r="40" spans="1:2" x14ac:dyDescent="0.3">
      <c r="A40" s="8" t="s">
        <v>154</v>
      </c>
      <c r="B40" s="12">
        <v>68377012</v>
      </c>
    </row>
    <row r="41" spans="1:2" x14ac:dyDescent="0.3">
      <c r="A41" s="8" t="s">
        <v>127</v>
      </c>
      <c r="B41" s="12">
        <v>17322</v>
      </c>
    </row>
    <row r="42" spans="1:2" x14ac:dyDescent="0.3">
      <c r="A42" s="8" t="s">
        <v>183</v>
      </c>
      <c r="B42" s="12">
        <v>17943</v>
      </c>
    </row>
    <row r="43" spans="1:2" x14ac:dyDescent="0.3">
      <c r="A43" s="8" t="s">
        <v>136</v>
      </c>
      <c r="B43" s="12">
        <v>209840684</v>
      </c>
    </row>
    <row r="44" spans="1:2" x14ac:dyDescent="0.3">
      <c r="A44" s="8" t="s">
        <v>206</v>
      </c>
      <c r="B44" s="12">
        <v>188724</v>
      </c>
    </row>
    <row r="45" spans="1:2" x14ac:dyDescent="0.3">
      <c r="A45" s="8" t="s">
        <v>308</v>
      </c>
      <c r="B45" s="12">
        <v>25353734</v>
      </c>
    </row>
    <row r="46" spans="1:2" x14ac:dyDescent="0.3">
      <c r="A46" s="8" t="s">
        <v>437</v>
      </c>
      <c r="B46" s="12">
        <v>4650176</v>
      </c>
    </row>
    <row r="47" spans="1:2" x14ac:dyDescent="0.3">
      <c r="A47" s="8" t="s">
        <v>164</v>
      </c>
      <c r="B47" s="12">
        <v>7550110</v>
      </c>
    </row>
    <row r="48" spans="1:2" x14ac:dyDescent="0.3">
      <c r="A48" s="8" t="s">
        <v>436</v>
      </c>
      <c r="B48" s="12">
        <v>2240541280</v>
      </c>
    </row>
    <row r="49" spans="1:2" x14ac:dyDescent="0.3">
      <c r="A49" s="8" t="s">
        <v>249</v>
      </c>
      <c r="B49" s="12">
        <v>125528</v>
      </c>
    </row>
    <row r="50" spans="1:2" x14ac:dyDescent="0.3">
      <c r="A50" s="8" t="s">
        <v>372</v>
      </c>
      <c r="B50" s="12">
        <v>1161</v>
      </c>
    </row>
    <row r="51" spans="1:2" x14ac:dyDescent="0.3">
      <c r="A51" s="8" t="s">
        <v>107</v>
      </c>
      <c r="B51" s="12">
        <v>7805</v>
      </c>
    </row>
    <row r="52" spans="1:2" x14ac:dyDescent="0.3">
      <c r="A52" s="8" t="s">
        <v>38</v>
      </c>
      <c r="B52" s="12">
        <v>1117474778</v>
      </c>
    </row>
    <row r="53" spans="1:2" x14ac:dyDescent="0.3">
      <c r="A53" s="8" t="s">
        <v>417</v>
      </c>
      <c r="B53" s="12">
        <v>16952860</v>
      </c>
    </row>
    <row r="54" spans="1:2" x14ac:dyDescent="0.3">
      <c r="A54" s="8" t="s">
        <v>401</v>
      </c>
      <c r="B54" s="12">
        <v>35592179</v>
      </c>
    </row>
    <row r="55" spans="1:2" x14ac:dyDescent="0.3">
      <c r="A55" s="8" t="s">
        <v>149</v>
      </c>
      <c r="B55" s="12">
        <v>236500879</v>
      </c>
    </row>
    <row r="56" spans="1:2" x14ac:dyDescent="0.3">
      <c r="A56" s="8" t="s">
        <v>71</v>
      </c>
      <c r="B56" s="12">
        <v>288277902</v>
      </c>
    </row>
    <row r="57" spans="1:2" x14ac:dyDescent="0.3">
      <c r="A57" s="8" t="s">
        <v>298</v>
      </c>
      <c r="B57" s="12">
        <v>37164</v>
      </c>
    </row>
    <row r="58" spans="1:2" x14ac:dyDescent="0.3">
      <c r="A58" s="8" t="s">
        <v>188</v>
      </c>
      <c r="B58" s="12">
        <v>47392334</v>
      </c>
    </row>
    <row r="59" spans="1:2" x14ac:dyDescent="0.3">
      <c r="A59" s="8" t="s">
        <v>222</v>
      </c>
      <c r="B59" s="12">
        <v>155633230</v>
      </c>
    </row>
    <row r="60" spans="1:2" x14ac:dyDescent="0.3">
      <c r="A60" s="8" t="s">
        <v>270</v>
      </c>
      <c r="B60" s="12">
        <v>204456774</v>
      </c>
    </row>
    <row r="61" spans="1:2" x14ac:dyDescent="0.3">
      <c r="A61" s="8" t="s">
        <v>95</v>
      </c>
      <c r="B61" s="12">
        <v>160421970</v>
      </c>
    </row>
    <row r="62" spans="1:2" x14ac:dyDescent="0.3">
      <c r="A62" s="8" t="s">
        <v>202</v>
      </c>
      <c r="B62" s="12">
        <v>112008034</v>
      </c>
    </row>
    <row r="63" spans="1:2" x14ac:dyDescent="0.3">
      <c r="A63" s="8" t="s">
        <v>111</v>
      </c>
      <c r="B63" s="12">
        <v>45822601</v>
      </c>
    </row>
    <row r="64" spans="1:2" x14ac:dyDescent="0.3">
      <c r="A64" s="8" t="s">
        <v>328</v>
      </c>
      <c r="B64" s="12">
        <v>119280381</v>
      </c>
    </row>
    <row r="65" spans="1:2" x14ac:dyDescent="0.3">
      <c r="A65" s="8" t="s">
        <v>275</v>
      </c>
      <c r="B65" s="12">
        <v>899024</v>
      </c>
    </row>
    <row r="66" spans="1:2" x14ac:dyDescent="0.3">
      <c r="A66" s="8" t="s">
        <v>52</v>
      </c>
      <c r="B66" s="12">
        <v>187281056</v>
      </c>
    </row>
    <row r="67" spans="1:2" x14ac:dyDescent="0.3">
      <c r="A67" s="8" t="s">
        <v>58</v>
      </c>
      <c r="B67" s="12">
        <v>1198540</v>
      </c>
    </row>
    <row r="68" spans="1:2" x14ac:dyDescent="0.3">
      <c r="A68" s="8" t="s">
        <v>457</v>
      </c>
      <c r="B68" s="12">
        <v>10591031907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681F-9E81-41E6-8671-4E8048DB83E2}">
  <dimension ref="A1:C67"/>
  <sheetViews>
    <sheetView topLeftCell="A41" workbookViewId="0">
      <selection activeCell="A2" sqref="A2:A66"/>
    </sheetView>
  </sheetViews>
  <sheetFormatPr defaultRowHeight="14.4" x14ac:dyDescent="0.3"/>
  <cols>
    <col min="1" max="1" width="24.33203125" bestFit="1" customWidth="1"/>
    <col min="2" max="2" width="22.44140625" bestFit="1" customWidth="1"/>
    <col min="3" max="3" width="17.88671875" bestFit="1" customWidth="1"/>
  </cols>
  <sheetData>
    <row r="1" spans="1:3" x14ac:dyDescent="0.3">
      <c r="A1" s="6" t="s">
        <v>431</v>
      </c>
      <c r="B1" s="7" t="s">
        <v>433</v>
      </c>
      <c r="C1" s="7" t="s">
        <v>456</v>
      </c>
    </row>
    <row r="2" spans="1:3" x14ac:dyDescent="0.3">
      <c r="A2" s="8" t="s">
        <v>367</v>
      </c>
      <c r="B2" s="9">
        <v>4350000</v>
      </c>
      <c r="C2" s="9">
        <v>35211939</v>
      </c>
    </row>
    <row r="3" spans="1:3" x14ac:dyDescent="0.3">
      <c r="A3" s="8" t="s">
        <v>62</v>
      </c>
      <c r="B3" s="9">
        <v>8100000</v>
      </c>
      <c r="C3" s="9">
        <v>200597050</v>
      </c>
    </row>
    <row r="4" spans="1:3" x14ac:dyDescent="0.3">
      <c r="A4" s="8" t="s">
        <v>389</v>
      </c>
      <c r="B4" s="9">
        <v>112800000</v>
      </c>
      <c r="C4" s="9">
        <v>37411599</v>
      </c>
    </row>
    <row r="5" spans="1:3" x14ac:dyDescent="0.3">
      <c r="A5" s="8" t="s">
        <v>232</v>
      </c>
      <c r="B5" s="9">
        <v>10720000</v>
      </c>
      <c r="C5" s="9">
        <v>115706138</v>
      </c>
    </row>
    <row r="6" spans="1:3" x14ac:dyDescent="0.3">
      <c r="A6" s="8" t="s">
        <v>31</v>
      </c>
      <c r="B6" s="9">
        <v>170400000</v>
      </c>
      <c r="C6" s="9">
        <v>747239602</v>
      </c>
    </row>
    <row r="7" spans="1:3" x14ac:dyDescent="0.3">
      <c r="A7" s="8" t="s">
        <v>172</v>
      </c>
      <c r="B7" s="9">
        <v>2250000</v>
      </c>
      <c r="C7" s="9">
        <v>118077070</v>
      </c>
    </row>
    <row r="8" spans="1:3" x14ac:dyDescent="0.3">
      <c r="A8" s="8" t="s">
        <v>241</v>
      </c>
      <c r="B8" s="9">
        <v>3900000</v>
      </c>
      <c r="C8" s="9">
        <v>79002814</v>
      </c>
    </row>
    <row r="9" spans="1:3" x14ac:dyDescent="0.3">
      <c r="A9" s="8" t="s">
        <v>145</v>
      </c>
      <c r="B9" s="9">
        <v>3630</v>
      </c>
      <c r="C9" s="9">
        <v>6605</v>
      </c>
    </row>
    <row r="10" spans="1:3" x14ac:dyDescent="0.3">
      <c r="A10" s="8" t="s">
        <v>320</v>
      </c>
      <c r="B10" s="9">
        <v>23900</v>
      </c>
      <c r="C10" s="9">
        <v>667846</v>
      </c>
    </row>
    <row r="11" spans="1:3" x14ac:dyDescent="0.3">
      <c r="A11" s="8" t="s">
        <v>332</v>
      </c>
      <c r="B11" s="9">
        <v>28100000</v>
      </c>
      <c r="C11" s="9">
        <v>46253970</v>
      </c>
    </row>
    <row r="12" spans="1:3" x14ac:dyDescent="0.3">
      <c r="A12" s="8" t="s">
        <v>85</v>
      </c>
      <c r="B12" s="9">
        <v>1320</v>
      </c>
      <c r="C12" s="9">
        <v>12089</v>
      </c>
    </row>
    <row r="13" spans="1:3" x14ac:dyDescent="0.3">
      <c r="A13" s="8" t="s">
        <v>280</v>
      </c>
      <c r="B13" s="9">
        <v>2220000</v>
      </c>
      <c r="C13" s="9">
        <v>37464367</v>
      </c>
    </row>
    <row r="14" spans="1:3" x14ac:dyDescent="0.3">
      <c r="A14" s="8" t="s">
        <v>285</v>
      </c>
      <c r="B14" s="9">
        <v>514000</v>
      </c>
      <c r="C14" s="9">
        <v>38500113</v>
      </c>
    </row>
    <row r="15" spans="1:3" x14ac:dyDescent="0.3">
      <c r="A15" s="8" t="s">
        <v>197</v>
      </c>
      <c r="B15" s="9">
        <v>82800000</v>
      </c>
      <c r="C15" s="9">
        <v>167759313</v>
      </c>
    </row>
    <row r="16" spans="1:3" x14ac:dyDescent="0.3">
      <c r="A16" s="8" t="s">
        <v>259</v>
      </c>
      <c r="B16" s="9">
        <v>2680000</v>
      </c>
      <c r="C16" s="9">
        <v>30313088</v>
      </c>
    </row>
    <row r="17" spans="1:3" x14ac:dyDescent="0.3">
      <c r="A17" s="8" t="s">
        <v>290</v>
      </c>
      <c r="B17" s="9">
        <v>605000</v>
      </c>
      <c r="C17" s="9">
        <v>4637</v>
      </c>
    </row>
    <row r="18" spans="1:3" x14ac:dyDescent="0.3">
      <c r="A18" s="8" t="s">
        <v>119</v>
      </c>
      <c r="B18" s="9">
        <v>3140000</v>
      </c>
      <c r="C18" s="9">
        <v>51336708</v>
      </c>
    </row>
    <row r="19" spans="1:3" x14ac:dyDescent="0.3">
      <c r="A19" s="8" t="s">
        <v>214</v>
      </c>
      <c r="B19" s="9">
        <v>31500000</v>
      </c>
      <c r="C19" s="9">
        <v>39114736</v>
      </c>
    </row>
    <row r="20" spans="1:3" x14ac:dyDescent="0.3">
      <c r="A20" s="8" t="s">
        <v>359</v>
      </c>
      <c r="B20" s="9">
        <v>24400000</v>
      </c>
      <c r="C20" s="9">
        <v>80373280</v>
      </c>
    </row>
    <row r="21" spans="1:3" x14ac:dyDescent="0.3">
      <c r="A21" s="8" t="s">
        <v>46</v>
      </c>
      <c r="B21" s="9">
        <v>117000000</v>
      </c>
      <c r="C21" s="9">
        <v>219111485</v>
      </c>
    </row>
    <row r="22" spans="1:3" x14ac:dyDescent="0.3">
      <c r="A22" s="8" t="s">
        <v>434</v>
      </c>
      <c r="B22" s="9">
        <v>3330000</v>
      </c>
      <c r="C22" s="9">
        <v>3794711</v>
      </c>
    </row>
    <row r="23" spans="1:3" x14ac:dyDescent="0.3">
      <c r="A23" s="8" t="s">
        <v>141</v>
      </c>
      <c r="B23" s="9">
        <v>3540000</v>
      </c>
      <c r="C23" s="9">
        <v>59463985</v>
      </c>
    </row>
    <row r="24" spans="1:3" x14ac:dyDescent="0.3">
      <c r="A24" s="8" t="s">
        <v>414</v>
      </c>
      <c r="B24" s="9">
        <v>20300</v>
      </c>
      <c r="C24" s="9">
        <v>66051</v>
      </c>
    </row>
    <row r="25" spans="1:3" x14ac:dyDescent="0.3">
      <c r="A25" s="8" t="s">
        <v>347</v>
      </c>
      <c r="B25" s="9">
        <v>32900000</v>
      </c>
      <c r="C25" s="9">
        <v>30301956</v>
      </c>
    </row>
    <row r="26" spans="1:3" x14ac:dyDescent="0.3">
      <c r="A26" s="8" t="s">
        <v>435</v>
      </c>
      <c r="B26" s="9">
        <v>1200</v>
      </c>
      <c r="C26" s="9">
        <v>6174</v>
      </c>
    </row>
    <row r="27" spans="1:3" x14ac:dyDescent="0.3">
      <c r="A27" s="8" t="s">
        <v>193</v>
      </c>
      <c r="B27" s="9">
        <v>5350000</v>
      </c>
      <c r="C27" s="9">
        <v>40129974</v>
      </c>
    </row>
    <row r="28" spans="1:3" x14ac:dyDescent="0.3">
      <c r="A28" s="8" t="s">
        <v>100</v>
      </c>
      <c r="B28" s="9">
        <v>48300000</v>
      </c>
      <c r="C28" s="9">
        <v>335218998</v>
      </c>
    </row>
    <row r="29" spans="1:3" x14ac:dyDescent="0.3">
      <c r="A29" s="8" t="s">
        <v>352</v>
      </c>
      <c r="B29" s="9">
        <v>152400000</v>
      </c>
      <c r="C29" s="9">
        <v>46678368</v>
      </c>
    </row>
    <row r="30" spans="1:3" x14ac:dyDescent="0.3">
      <c r="A30" s="8" t="s">
        <v>123</v>
      </c>
      <c r="B30" s="9">
        <v>255000</v>
      </c>
      <c r="C30" s="9">
        <v>87005996</v>
      </c>
    </row>
    <row r="31" spans="1:3" x14ac:dyDescent="0.3">
      <c r="A31" s="8" t="s">
        <v>66</v>
      </c>
      <c r="B31" s="9">
        <v>59100000</v>
      </c>
      <c r="C31" s="9">
        <v>610278219</v>
      </c>
    </row>
    <row r="32" spans="1:3" x14ac:dyDescent="0.3">
      <c r="A32" s="8" t="s">
        <v>381</v>
      </c>
      <c r="B32" s="9">
        <v>1900000</v>
      </c>
      <c r="C32" s="9">
        <v>26261465</v>
      </c>
    </row>
    <row r="33" spans="1:3" x14ac:dyDescent="0.3">
      <c r="A33" s="8" t="s">
        <v>21</v>
      </c>
      <c r="B33" s="9">
        <v>88800000</v>
      </c>
      <c r="C33" s="9">
        <v>1562032073</v>
      </c>
    </row>
    <row r="34" spans="1:3" x14ac:dyDescent="0.3">
      <c r="A34" s="8" t="s">
        <v>80</v>
      </c>
      <c r="B34" s="9">
        <v>16160000</v>
      </c>
      <c r="C34" s="9">
        <v>289611150</v>
      </c>
    </row>
    <row r="35" spans="1:3" x14ac:dyDescent="0.3">
      <c r="A35" s="8" t="s">
        <v>90</v>
      </c>
      <c r="B35" s="9">
        <v>565000</v>
      </c>
      <c r="C35" s="9">
        <v>110991682</v>
      </c>
    </row>
    <row r="36" spans="1:3" x14ac:dyDescent="0.3">
      <c r="A36" s="8" t="s">
        <v>254</v>
      </c>
      <c r="B36" s="9">
        <v>37800000</v>
      </c>
      <c r="C36" s="9">
        <v>29890943</v>
      </c>
    </row>
    <row r="37" spans="1:3" x14ac:dyDescent="0.3">
      <c r="A37" s="8" t="s">
        <v>393</v>
      </c>
      <c r="B37" s="9">
        <v>2120</v>
      </c>
      <c r="C37" s="9">
        <v>8687</v>
      </c>
    </row>
    <row r="38" spans="1:3" x14ac:dyDescent="0.3">
      <c r="A38" s="8" t="s">
        <v>303</v>
      </c>
      <c r="B38" s="9">
        <v>19900000</v>
      </c>
      <c r="C38" s="9">
        <v>29225841</v>
      </c>
    </row>
    <row r="39" spans="1:3" x14ac:dyDescent="0.3">
      <c r="A39" s="8" t="s">
        <v>154</v>
      </c>
      <c r="B39" s="9">
        <v>782000</v>
      </c>
      <c r="C39" s="9">
        <v>68377012</v>
      </c>
    </row>
    <row r="40" spans="1:3" x14ac:dyDescent="0.3">
      <c r="A40" s="8" t="s">
        <v>127</v>
      </c>
      <c r="B40" s="9">
        <v>47</v>
      </c>
      <c r="C40" s="9">
        <v>17322</v>
      </c>
    </row>
    <row r="41" spans="1:3" x14ac:dyDescent="0.3">
      <c r="A41" s="8" t="s">
        <v>183</v>
      </c>
      <c r="B41" s="9">
        <v>32000</v>
      </c>
      <c r="C41" s="9">
        <v>17943</v>
      </c>
    </row>
    <row r="42" spans="1:3" x14ac:dyDescent="0.3">
      <c r="A42" s="8" t="s">
        <v>136</v>
      </c>
      <c r="B42" s="9">
        <v>28400000</v>
      </c>
      <c r="C42" s="9">
        <v>209840684</v>
      </c>
    </row>
    <row r="43" spans="1:3" x14ac:dyDescent="0.3">
      <c r="A43" s="8" t="s">
        <v>206</v>
      </c>
      <c r="B43" s="9">
        <v>16100</v>
      </c>
      <c r="C43" s="9">
        <v>188724</v>
      </c>
    </row>
    <row r="44" spans="1:3" x14ac:dyDescent="0.3">
      <c r="A44" s="8" t="s">
        <v>308</v>
      </c>
      <c r="B44" s="9">
        <v>203000</v>
      </c>
      <c r="C44" s="9">
        <v>25353734</v>
      </c>
    </row>
    <row r="45" spans="1:3" x14ac:dyDescent="0.3">
      <c r="A45" s="8" t="s">
        <v>437</v>
      </c>
      <c r="B45" s="9">
        <v>816000</v>
      </c>
      <c r="C45" s="9">
        <v>4650176</v>
      </c>
    </row>
    <row r="46" spans="1:3" x14ac:dyDescent="0.3">
      <c r="A46" s="8" t="s">
        <v>164</v>
      </c>
      <c r="B46" s="9">
        <v>360000</v>
      </c>
      <c r="C46" s="9">
        <v>7550110</v>
      </c>
    </row>
    <row r="47" spans="1:3" x14ac:dyDescent="0.3">
      <c r="A47" s="8" t="s">
        <v>436</v>
      </c>
      <c r="B47" s="9">
        <v>57600000</v>
      </c>
      <c r="C47" s="9">
        <v>2240541280</v>
      </c>
    </row>
    <row r="48" spans="1:3" x14ac:dyDescent="0.3">
      <c r="A48" s="8" t="s">
        <v>249</v>
      </c>
      <c r="B48" s="9">
        <v>297000</v>
      </c>
      <c r="C48" s="9">
        <v>125528</v>
      </c>
    </row>
    <row r="49" spans="1:3" x14ac:dyDescent="0.3">
      <c r="A49" s="8" t="s">
        <v>372</v>
      </c>
      <c r="B49" s="9">
        <v>1</v>
      </c>
      <c r="C49" s="9">
        <v>1161</v>
      </c>
    </row>
    <row r="50" spans="1:3" x14ac:dyDescent="0.3">
      <c r="A50" s="8" t="s">
        <v>107</v>
      </c>
      <c r="B50" s="9">
        <v>14800</v>
      </c>
      <c r="C50" s="9">
        <v>7805</v>
      </c>
    </row>
    <row r="51" spans="1:3" x14ac:dyDescent="0.3">
      <c r="A51" s="8" t="s">
        <v>38</v>
      </c>
      <c r="B51" s="9">
        <v>86100000</v>
      </c>
      <c r="C51" s="9">
        <v>1117474778</v>
      </c>
    </row>
    <row r="52" spans="1:3" x14ac:dyDescent="0.3">
      <c r="A52" s="8" t="s">
        <v>417</v>
      </c>
      <c r="B52" s="9">
        <v>5200000</v>
      </c>
      <c r="C52" s="9">
        <v>16952860</v>
      </c>
    </row>
    <row r="53" spans="1:3" x14ac:dyDescent="0.3">
      <c r="A53" s="8" t="s">
        <v>401</v>
      </c>
      <c r="B53" s="9">
        <v>71000000</v>
      </c>
      <c r="C53" s="9">
        <v>35592179</v>
      </c>
    </row>
    <row r="54" spans="1:3" x14ac:dyDescent="0.3">
      <c r="A54" s="8" t="s">
        <v>149</v>
      </c>
      <c r="B54" s="9">
        <v>1230000</v>
      </c>
      <c r="C54" s="9">
        <v>236500879</v>
      </c>
    </row>
    <row r="55" spans="1:3" x14ac:dyDescent="0.3">
      <c r="A55" s="8" t="s">
        <v>71</v>
      </c>
      <c r="B55" s="9">
        <v>955000</v>
      </c>
      <c r="C55" s="9">
        <v>288277902</v>
      </c>
    </row>
    <row r="56" spans="1:3" x14ac:dyDescent="0.3">
      <c r="A56" s="8" t="s">
        <v>298</v>
      </c>
      <c r="B56" s="9">
        <v>43</v>
      </c>
      <c r="C56" s="9">
        <v>37164</v>
      </c>
    </row>
    <row r="57" spans="1:3" x14ac:dyDescent="0.3">
      <c r="A57" s="8" t="s">
        <v>188</v>
      </c>
      <c r="B57" s="9">
        <v>616000</v>
      </c>
      <c r="C57" s="9">
        <v>47392334</v>
      </c>
    </row>
    <row r="58" spans="1:3" x14ac:dyDescent="0.3">
      <c r="A58" s="8" t="s">
        <v>222</v>
      </c>
      <c r="B58" s="9">
        <v>25280000</v>
      </c>
      <c r="C58" s="9">
        <v>155633230</v>
      </c>
    </row>
    <row r="59" spans="1:3" x14ac:dyDescent="0.3">
      <c r="A59" s="8" t="s">
        <v>270</v>
      </c>
      <c r="B59" s="9">
        <v>123000000</v>
      </c>
      <c r="C59" s="9">
        <v>204456774</v>
      </c>
    </row>
    <row r="60" spans="1:3" x14ac:dyDescent="0.3">
      <c r="A60" s="8" t="s">
        <v>95</v>
      </c>
      <c r="B60" s="9">
        <v>6070000</v>
      </c>
      <c r="C60" s="9">
        <v>160421970</v>
      </c>
    </row>
    <row r="61" spans="1:3" x14ac:dyDescent="0.3">
      <c r="A61" s="8" t="s">
        <v>202</v>
      </c>
      <c r="B61" s="9">
        <v>116100000</v>
      </c>
      <c r="C61" s="9">
        <v>112008034</v>
      </c>
    </row>
    <row r="62" spans="1:3" x14ac:dyDescent="0.3">
      <c r="A62" s="8" t="s">
        <v>111</v>
      </c>
      <c r="B62" s="9">
        <v>655000</v>
      </c>
      <c r="C62" s="9">
        <v>45822601</v>
      </c>
    </row>
    <row r="63" spans="1:3" x14ac:dyDescent="0.3">
      <c r="A63" s="8" t="s">
        <v>328</v>
      </c>
      <c r="B63" s="9">
        <v>10140000</v>
      </c>
      <c r="C63" s="9">
        <v>119280381</v>
      </c>
    </row>
    <row r="64" spans="1:3" x14ac:dyDescent="0.3">
      <c r="A64" s="8" t="s">
        <v>275</v>
      </c>
      <c r="B64" s="9">
        <v>6100</v>
      </c>
      <c r="C64" s="9">
        <v>899024</v>
      </c>
    </row>
    <row r="65" spans="1:3" x14ac:dyDescent="0.3">
      <c r="A65" s="8" t="s">
        <v>52</v>
      </c>
      <c r="B65" s="9">
        <v>1220000</v>
      </c>
      <c r="C65" s="9">
        <v>187281056</v>
      </c>
    </row>
    <row r="66" spans="1:3" x14ac:dyDescent="0.3">
      <c r="A66" s="8" t="s">
        <v>459</v>
      </c>
      <c r="B66" s="9">
        <v>142000</v>
      </c>
      <c r="C66" s="9">
        <v>1198540</v>
      </c>
    </row>
    <row r="67" spans="1:3" x14ac:dyDescent="0.3">
      <c r="A67" s="8" t="s">
        <v>457</v>
      </c>
      <c r="B67" s="9">
        <v>1612066561</v>
      </c>
      <c r="C67" s="9">
        <v>10591031907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digitalmedia_youtube-top-100-so</vt:lpstr>
      <vt:lpstr>Task1-Filteringdata</vt:lpstr>
      <vt:lpstr>Task2-Data cleaning</vt:lpstr>
      <vt:lpstr>Sheet6</vt:lpstr>
      <vt:lpstr>Pivot-1,2</vt:lpstr>
      <vt:lpstr>Pivot-3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Sundaraj.R</dc:creator>
  <cp:lastModifiedBy>sundaraj Rajarajan</cp:lastModifiedBy>
  <dcterms:created xsi:type="dcterms:W3CDTF">2026-02-08T21:47:07Z</dcterms:created>
  <dcterms:modified xsi:type="dcterms:W3CDTF">2026-02-12T08:14:00Z</dcterms:modified>
</cp:coreProperties>
</file>